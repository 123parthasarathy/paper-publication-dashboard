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
    </mc:Choice>
  </mc:AlternateContent>
  <xr:revisionPtr revIDLastSave="0" documentId="8_{4B970377-EC3F-40F1-8C90-4577B807109B}" xr6:coauthVersionLast="47" xr6:coauthVersionMax="47" xr10:uidLastSave="{00000000-0000-0000-0000-000000000000}"/>
  <bookViews>
    <workbookView xWindow="-110" yWindow="-110" windowWidth="19420" windowHeight="10300" xr2:uid="{00000000-000D-0000-FFFF-FFFF00000000}"/>
  </bookViews>
  <sheets>
    <sheet name="Sarathys work " sheetId="1" r:id="rId1"/>
    <sheet name="Others work" sheetId="2" r:id="rId2"/>
    <sheet name="info.about publication" sheetId="3" r:id="rId3"/>
    <sheet name="clients details" sheetId="4" r:id="rId4"/>
    <sheet name="Patent" sheetId="5" r:id="rId5"/>
    <sheet name="Awards" sheetId="6" r:id="rId6"/>
    <sheet name="Sheet4"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2" l="1"/>
  <c r="S6" i="2"/>
  <c r="Z5" i="2"/>
  <c r="Y5" i="2"/>
  <c r="S5" i="2"/>
  <c r="Z4" i="2"/>
  <c r="Y4" i="2"/>
  <c r="S4" i="2"/>
  <c r="Z4" i="1"/>
  <c r="Y4" i="1"/>
  <c r="S4" i="1"/>
</calcChain>
</file>

<file path=xl/sharedStrings.xml><?xml version="1.0" encoding="utf-8"?>
<sst xmlns="http://schemas.openxmlformats.org/spreadsheetml/2006/main" count="220" uniqueCount="101">
  <si>
    <t xml:space="preserve">Author1 </t>
  </si>
  <si>
    <t>Author2</t>
  </si>
  <si>
    <t>Author 3</t>
  </si>
  <si>
    <t>Author 4</t>
  </si>
  <si>
    <t>Author 5</t>
  </si>
  <si>
    <t>Total</t>
  </si>
  <si>
    <t>to Riya</t>
  </si>
  <si>
    <t>Balance</t>
  </si>
  <si>
    <t xml:space="preserve">Paper Status </t>
  </si>
  <si>
    <t>S.No</t>
  </si>
  <si>
    <t xml:space="preserve">Title </t>
  </si>
  <si>
    <t>Name</t>
  </si>
  <si>
    <t>Amount</t>
  </si>
  <si>
    <t>email id</t>
  </si>
  <si>
    <t>Email id</t>
  </si>
  <si>
    <t>1st Payment</t>
  </si>
  <si>
    <t>2nd Payment</t>
  </si>
  <si>
    <t xml:space="preserve">3rd Payment </t>
  </si>
  <si>
    <t>4th Payment</t>
  </si>
  <si>
    <t>5th Payment</t>
  </si>
  <si>
    <t>"UNCERTAINTY-AWARE FUZZY CONVOLUTIONAL NETWORKS FOR PREDICTIVE MAINTENANCE IN SAFETY-CRITICAL INDUSTRIAL SYSTEMS: A NOVEL APPROACH TO EXTREME CLASS IMBALANCE"</t>
  </si>
  <si>
    <t>Devipriyadarshini. D</t>
  </si>
  <si>
    <r>
      <rPr>
        <u/>
        <sz val="12"/>
        <color rgb="FF1155CC"/>
        <rFont val="Times New Roman"/>
      </rPr>
      <t>dd5359@srmist.edu.in</t>
    </r>
  </si>
  <si>
    <r>
      <rPr>
        <u/>
        <sz val="12"/>
        <color rgb="FF1155CC"/>
        <rFont val="Times New Roman"/>
      </rPr>
      <t>shakeela_sathish@yahoo.co.in</t>
    </r>
  </si>
  <si>
    <t>Parthasarathy</t>
  </si>
  <si>
    <t>parthass@srmist.edu.in</t>
  </si>
  <si>
    <t>Accepted , in
International Journal of Information Technology.</t>
  </si>
  <si>
    <t>An Ensemble Learning Framework for Brain Tumour Classification with Explainable AI for Medical Diagnosis</t>
  </si>
  <si>
    <t>Parthasarathy Sundararajan</t>
  </si>
  <si>
    <t>Shivakumar</t>
  </si>
  <si>
    <t>Prasad</t>
  </si>
  <si>
    <t>can add authors</t>
  </si>
  <si>
    <t>can add</t>
  </si>
  <si>
    <t>Published</t>
  </si>
  <si>
    <t xml:space="preserve">           Optimization of Turmeric Compounds for Medical Treatment Using Multi-Objective Optimization Techniques</t>
  </si>
  <si>
    <t>Divya VK</t>
  </si>
  <si>
    <t>divyavk.cse@sathyabama.ac.in</t>
  </si>
  <si>
    <t>Deepa</t>
  </si>
  <si>
    <t>Shiva</t>
  </si>
  <si>
    <t>sivadhar@gmail.com</t>
  </si>
  <si>
    <t>gadiraju@ieee.org</t>
  </si>
  <si>
    <t>-</t>
  </si>
  <si>
    <t>Communicated to Riya</t>
  </si>
  <si>
    <t>A Hybrid AI Framework for Turmeric Yield Optimization: Integrating CNN-Based Leaf Health Analysis and LSTM Forecasting with Environmental Data</t>
  </si>
  <si>
    <t>Harnessing Graph-based Learning for Superior Image and Data Classification</t>
  </si>
  <si>
    <t>Nandhakumar Mahamoorthy</t>
  </si>
  <si>
    <r>
      <rPr>
        <u/>
        <sz val="12"/>
        <color rgb="FF1155CC"/>
        <rFont val="Times New Roman"/>
      </rPr>
      <t>mnandhakumar07@gmail.com</t>
    </r>
  </si>
  <si>
    <t>Shakeela Sathish</t>
  </si>
  <si>
    <r>
      <rPr>
        <u/>
        <sz val="12"/>
        <color rgb="FF1155CC"/>
        <rFont val="&quot;Times New Roman&quot;, &quot;serif&quot;"/>
      </rPr>
      <t>shakeela_sathish@yahoo.co.in</t>
    </r>
  </si>
  <si>
    <t>Not Available</t>
  </si>
  <si>
    <t>Enhanced CS-SC-SVM with Mathematical Novelty: A Comprehensive Approach for Imbalanced Classification Problems</t>
  </si>
  <si>
    <t>Matilda</t>
  </si>
  <si>
    <t>Parthasarathy S</t>
  </si>
  <si>
    <t>Accepted</t>
  </si>
  <si>
    <t>UA-MSCNN-SHE: A Novel Uncertainty-Aware Multi-Scale Convolutional Neural Network with Integrated Statistical Hypothesis Testing and Explainability for Medical Image Classification</t>
  </si>
  <si>
    <t>Linda</t>
  </si>
  <si>
    <t>Adaptive Quantum-Enhanced Fractional Neural Networks: A Novel ABC-Caputo-LSTM Framework for Multi-Scale Dynamic System Modeling and Uncertainty Quantification</t>
  </si>
  <si>
    <t>Shakeela</t>
  </si>
  <si>
    <t>shakeels1@srmist.edu.in</t>
  </si>
  <si>
    <t>Bayesian Uncertainty Quantification in Deep Learning: A Manifold-Based Reliability Assessment Framework</t>
  </si>
  <si>
    <t>1 lakh</t>
  </si>
  <si>
    <t>1,05,000</t>
  </si>
  <si>
    <t>Ensemble Learning with Conformal Prediction: Statistical Guarantees for Uncertainty-Aware Machine Learning</t>
  </si>
  <si>
    <t>50 Thousands</t>
  </si>
  <si>
    <t>Persistent Homology and Machine Learning: Topological Data Analysis for Big Data Pattern Recognition</t>
  </si>
  <si>
    <t>BUM-AGE-Net: A Bayesian Uncertainty-Aware Multi-modal Fusion Framework with Attention-Guided Explainability for Lung Cancer Survival Prediction</t>
  </si>
  <si>
    <t>Shubaska</t>
  </si>
  <si>
    <t>Aasha</t>
  </si>
  <si>
    <t>Kavitha</t>
  </si>
  <si>
    <t>parthasarathy</t>
  </si>
  <si>
    <t>Nill</t>
  </si>
  <si>
    <t>PROBABILISTIC ENSEMBLE ARCHITECTURE WITH TEMPERATURE-MODULATED STOCHASTIC SAMPLING FOR CONFIDENCE-CALIBRATED CARDIOVASCULAR RISK STRATIFICATION</t>
  </si>
  <si>
    <t>Muthukumaran</t>
  </si>
  <si>
    <t>BGMM-GATE: A GATED ADAPTIVE TUNED ENSEMBLE FRAMEWORK WITH UNCERTAINTY QUANTIFICATION FOR MEDICAL TABULAR DATA CLASSIFICATION</t>
  </si>
  <si>
    <t>UA-MSCNN-SHE: A NOVEL UNCERTAINTY-AWARE MULTI-SCALE CONVOLUTIONAL NEURAL NETWORK WITH INTEGRATED STATISTICAL HYPOTHESIS TESTING AND EXPLAINABILITY FOR MEDICAL IMAGE CLASSIFICATION</t>
  </si>
  <si>
    <t>COPULA-DRIVEN ADAPTIVE MULTI-KERNEL SUPPORT VECTOR CLASSIFICATION WITH WASSERSTEIN-REGULARIZED WEIGHT FUSION AND CONFORMAL CALIBRATION</t>
  </si>
  <si>
    <t>Improving APS Failure Detection Through GraphSAGE and XGBoost Utilizing Graph Features</t>
  </si>
  <si>
    <t>Rajeswari R</t>
  </si>
  <si>
    <r>
      <rPr>
        <u/>
        <sz val="12"/>
        <color rgb="FF1155CC"/>
        <rFont val="Calibri, &quot;sans-serif&quot;"/>
      </rPr>
      <t>rr3655@srmist.edu.in</t>
    </r>
  </si>
  <si>
    <t>Sujataha. N(Guide)</t>
  </si>
  <si>
    <t>sujathan@srmist.edu.in</t>
  </si>
  <si>
    <t>Estimation of Taylor-Maclaurin coefficient for bi-univalent functions in the new subclasse</t>
  </si>
  <si>
    <t xml:space="preserve">R. Kamali </t>
  </si>
  <si>
    <t>kr2008@srmist.edu.in</t>
  </si>
  <si>
    <t>S. Prema(Guide)</t>
  </si>
  <si>
    <t>premas5@srmist.edu.in</t>
  </si>
  <si>
    <t>Novel Graph Attention Network for MRI-Based Brain Tumor Classification: A Comparative Analysis with Spectral Graph Properties</t>
  </si>
  <si>
    <r>
      <rPr>
        <u/>
        <sz val="12"/>
        <color rgb="FF1155CC"/>
        <rFont val="Calibri, &quot;sans-serif&quot;"/>
      </rPr>
      <t>rr3655@srmist.edu.in</t>
    </r>
  </si>
  <si>
    <t>ON SOME COEFFICIENT BOUNDS FOR CLASS OF ANALYTIC FUNCTIONS ASSOCIATED WITH NEPHROID DOMAIN</t>
  </si>
  <si>
    <t>Padmapriya</t>
  </si>
  <si>
    <t>padmapriya.14@gmail.com</t>
  </si>
  <si>
    <t>Sci writing with implementation and publication
Total 60k
Initially you have to pay 15k
After demo for your implementation you have to pay 15k
Once the document get ready you have to pay 15k
While moving for publication you have to pay 10k
After acceptance 5k</t>
  </si>
  <si>
    <t>Scopus writing with implementation and publication
Total 50k
Initially you have to pay 10k
After demo for your implementation you have to pay 15k
Once the document get ready you have to pay 15k
While moving for publication you have to pay 5k
After acceptance 5k</t>
  </si>
  <si>
    <t>Paper</t>
  </si>
  <si>
    <t>Patent</t>
  </si>
  <si>
    <t>syed patel</t>
  </si>
  <si>
    <t>sreenivas chakkaravaram</t>
  </si>
  <si>
    <t>prasad gadiraju</t>
  </si>
  <si>
    <t>sivakumar dharmaraj</t>
  </si>
  <si>
    <t>pradeep chintala</t>
  </si>
  <si>
    <t>Arun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</si>
</sst>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Arial"/>
      <scheme val="minor"/>
    </font>
    <font>
      <sz val="10"/>
      <color theme="1"/>
      <name val="Arial"/>
      <scheme val="minor"/>
    </font>
    <font>
      <b/>
      <sz val="10"/>
      <color theme="1"/>
      <name val="Arial"/>
      <scheme val="minor"/>
    </font>
    <font>
      <sz val="10"/>
      <name val="Arial"/>
    </font>
    <font>
      <sz val="12"/>
      <color theme="1"/>
      <name val="Times New Roman"/>
    </font>
    <font>
      <sz val="12"/>
      <color rgb="FF1F1F1F"/>
      <name val="Times New Roman"/>
    </font>
    <font>
      <u/>
      <sz val="12"/>
      <color rgb="FF0000FF"/>
      <name val="Times New Roman"/>
    </font>
    <font>
      <u/>
      <sz val="12"/>
      <color rgb="FF5E5E5E"/>
      <name val="Times New Roman"/>
    </font>
    <font>
      <sz val="11"/>
      <color rgb="FF5E5E5E"/>
      <name val="&quot;Google Sans&quot;"/>
    </font>
    <font>
      <u/>
      <sz val="12"/>
      <color theme="1"/>
      <name val="Times New Roman"/>
    </font>
    <font>
      <sz val="12"/>
      <color theme="1"/>
      <name val="&quot;Times New Roman&quot;"/>
    </font>
    <font>
      <u/>
      <sz val="12"/>
      <color rgb="FF0000FF"/>
      <name val="Times New Roman"/>
    </font>
    <font>
      <u/>
      <sz val="11"/>
      <color rgb="FF0000FF"/>
      <name val="Calibri"/>
    </font>
    <font>
      <b/>
      <sz val="12"/>
      <color theme="1"/>
      <name val="&quot;Times New Roman&quot;"/>
    </font>
    <font>
      <b/>
      <sz val="12"/>
      <color rgb="FF1F1F1F"/>
      <name val="Times New Roman"/>
    </font>
    <font>
      <sz val="12"/>
      <color rgb="FF5E5E5E"/>
      <name val="Times New Roman"/>
    </font>
    <font>
      <sz val="10"/>
      <color rgb="FF222222"/>
      <name val="Arial"/>
    </font>
    <font>
      <u/>
      <sz val="11"/>
      <color rgb="FF0000FF"/>
      <name val="Calibri"/>
    </font>
    <font>
      <b/>
      <sz val="12"/>
      <color theme="1"/>
      <name val="Times New Roman"/>
    </font>
    <font>
      <b/>
      <sz val="10"/>
      <color theme="1"/>
      <name val="&quot;Times New Roman&quot;"/>
    </font>
    <font>
      <u/>
      <sz val="10"/>
      <color rgb="FF000000"/>
      <name val="Arial"/>
    </font>
    <font>
      <sz val="10"/>
      <color rgb="FF000000"/>
      <name val="Arial"/>
      <scheme val="minor"/>
    </font>
    <font>
      <u/>
      <sz val="12"/>
      <color rgb="FF1155CC"/>
      <name val="Times New Roman"/>
    </font>
    <font>
      <u/>
      <sz val="12"/>
      <color rgb="FF1155CC"/>
      <name val="&quot;Times New Roman&quot;, &quot;serif&quot;"/>
    </font>
    <font>
      <u/>
      <sz val="12"/>
      <color rgb="FF1155CC"/>
      <name val="Calibri, &quot;sans-serif&quot;"/>
    </font>
  </fonts>
  <fills count="7">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8">
    <xf numFmtId="0" fontId="0" fillId="0" borderId="0" xfId="0"/>
    <xf numFmtId="0" fontId="1" fillId="0" borderId="1" xfId="0" applyFont="1" applyBorder="1"/>
    <xf numFmtId="0" fontId="1" fillId="0" borderId="1" xfId="0" applyFont="1" applyBorder="1" applyAlignment="1">
      <alignment wrapText="1"/>
    </xf>
    <xf numFmtId="0" fontId="1"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2"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5" fillId="2" borderId="1" xfId="0" applyFont="1" applyFill="1" applyBorder="1" applyAlignment="1">
      <alignment vertical="center"/>
    </xf>
    <xf numFmtId="0" fontId="4" fillId="2" borderId="1" xfId="0" applyFont="1" applyFill="1" applyBorder="1" applyAlignment="1">
      <alignment vertical="center"/>
    </xf>
    <xf numFmtId="0" fontId="6" fillId="2" borderId="1" xfId="0" applyFont="1" applyFill="1" applyBorder="1" applyAlignment="1">
      <alignment vertical="center"/>
    </xf>
    <xf numFmtId="3" fontId="4" fillId="2" borderId="1" xfId="0" applyNumberFormat="1" applyFont="1" applyFill="1" applyBorder="1" applyAlignment="1">
      <alignment vertical="center"/>
    </xf>
    <xf numFmtId="0" fontId="7" fillId="2" borderId="1" xfId="0" applyFont="1" applyFill="1" applyBorder="1" applyAlignment="1">
      <alignment vertical="center"/>
    </xf>
    <xf numFmtId="3" fontId="4" fillId="0" borderId="1" xfId="0" applyNumberFormat="1" applyFont="1" applyBorder="1" applyAlignment="1">
      <alignment vertical="center"/>
    </xf>
    <xf numFmtId="0" fontId="4" fillId="0" borderId="1" xfId="0" applyFont="1" applyBorder="1" applyAlignment="1">
      <alignment vertical="center"/>
    </xf>
    <xf numFmtId="0" fontId="4" fillId="3" borderId="1" xfId="0" applyFont="1" applyFill="1" applyBorder="1" applyAlignment="1">
      <alignment vertical="center"/>
    </xf>
    <xf numFmtId="0" fontId="4" fillId="0" borderId="1" xfId="0" applyFont="1" applyBorder="1" applyAlignment="1">
      <alignment horizontal="center" vertical="center" wrapText="1"/>
    </xf>
    <xf numFmtId="0" fontId="8" fillId="4" borderId="1" xfId="0" applyFont="1" applyFill="1" applyBorder="1" applyAlignment="1">
      <alignment vertical="center"/>
    </xf>
    <xf numFmtId="0" fontId="9" fillId="2" borderId="1" xfId="0" applyFont="1" applyFill="1" applyBorder="1" applyAlignment="1">
      <alignment vertical="center"/>
    </xf>
    <xf numFmtId="0" fontId="10" fillId="0" borderId="1" xfId="0" applyFont="1" applyBorder="1" applyAlignment="1">
      <alignment vertical="center"/>
    </xf>
    <xf numFmtId="0" fontId="11" fillId="0" borderId="1" xfId="0" applyFont="1" applyBorder="1" applyAlignment="1">
      <alignment vertical="center"/>
    </xf>
    <xf numFmtId="0" fontId="1" fillId="2" borderId="1" xfId="0" applyFont="1" applyFill="1" applyBorder="1" applyAlignment="1">
      <alignment vertical="center"/>
    </xf>
    <xf numFmtId="0" fontId="12" fillId="0" borderId="1" xfId="0" applyFont="1" applyBorder="1" applyAlignment="1">
      <alignment vertical="center"/>
    </xf>
    <xf numFmtId="0" fontId="1" fillId="0" borderId="1" xfId="0" applyFont="1" applyBorder="1" applyAlignment="1">
      <alignment vertical="center" wrapText="1"/>
    </xf>
    <xf numFmtId="0" fontId="13" fillId="0" borderId="1" xfId="0" applyFont="1" applyBorder="1" applyAlignment="1">
      <alignment vertical="center"/>
    </xf>
    <xf numFmtId="0" fontId="14" fillId="2" borderId="1" xfId="0" applyFont="1" applyFill="1" applyBorder="1" applyAlignment="1">
      <alignment vertical="center"/>
    </xf>
    <xf numFmtId="0" fontId="15" fillId="2" borderId="1" xfId="0" applyFont="1" applyFill="1" applyBorder="1" applyAlignment="1">
      <alignment vertical="center"/>
    </xf>
    <xf numFmtId="0" fontId="4" fillId="0" borderId="1" xfId="0" applyFont="1" applyBorder="1"/>
    <xf numFmtId="0" fontId="1" fillId="0" borderId="1" xfId="0" applyFont="1" applyBorder="1" applyAlignment="1">
      <alignment vertical="top"/>
    </xf>
    <xf numFmtId="0" fontId="1" fillId="0" borderId="1" xfId="0" applyFont="1" applyBorder="1" applyAlignment="1">
      <alignment vertical="top" wrapText="1"/>
    </xf>
    <xf numFmtId="0" fontId="4" fillId="2" borderId="1" xfId="0" applyFont="1" applyFill="1" applyBorder="1" applyAlignment="1">
      <alignment vertical="top"/>
    </xf>
    <xf numFmtId="3" fontId="4" fillId="2" borderId="1" xfId="0" applyNumberFormat="1" applyFont="1" applyFill="1" applyBorder="1" applyAlignment="1">
      <alignment vertical="top"/>
    </xf>
    <xf numFmtId="0" fontId="8" fillId="4" borderId="1" xfId="0" applyFont="1" applyFill="1" applyBorder="1" applyAlignment="1">
      <alignment vertical="top"/>
    </xf>
    <xf numFmtId="0" fontId="14" fillId="2" borderId="1" xfId="0" applyFont="1" applyFill="1" applyBorder="1" applyAlignment="1">
      <alignment vertical="top"/>
    </xf>
    <xf numFmtId="0" fontId="1" fillId="2" borderId="1" xfId="0" applyFont="1" applyFill="1" applyBorder="1" applyAlignment="1">
      <alignment vertical="top"/>
    </xf>
    <xf numFmtId="0" fontId="15" fillId="2" borderId="1" xfId="0" applyFont="1" applyFill="1" applyBorder="1" applyAlignment="1">
      <alignment vertical="top"/>
    </xf>
    <xf numFmtId="0" fontId="4" fillId="0" borderId="1" xfId="0" applyFont="1" applyBorder="1" applyAlignment="1">
      <alignment vertical="top"/>
    </xf>
    <xf numFmtId="0" fontId="1" fillId="2" borderId="1" xfId="0" applyFont="1" applyFill="1" applyBorder="1"/>
    <xf numFmtId="0" fontId="16" fillId="4" borderId="0" xfId="0" applyFont="1" applyFill="1"/>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center" wrapText="1"/>
    </xf>
    <xf numFmtId="0" fontId="2" fillId="2" borderId="1" xfId="0" applyFont="1" applyFill="1" applyBorder="1"/>
    <xf numFmtId="0" fontId="4" fillId="0" borderId="1" xfId="0" applyFont="1" applyBorder="1" applyAlignment="1">
      <alignment horizontal="center"/>
    </xf>
    <xf numFmtId="0" fontId="10" fillId="0" borderId="1" xfId="0" applyFont="1" applyBorder="1" applyAlignment="1">
      <alignment wrapText="1"/>
    </xf>
    <xf numFmtId="0" fontId="13" fillId="0" borderId="1" xfId="0" applyFont="1" applyBorder="1"/>
    <xf numFmtId="0" fontId="4" fillId="2" borderId="1" xfId="0" applyFont="1" applyFill="1" applyBorder="1"/>
    <xf numFmtId="0" fontId="17" fillId="0" borderId="1" xfId="0" applyFont="1" applyBorder="1"/>
    <xf numFmtId="0" fontId="14" fillId="2" borderId="1" xfId="0" applyFont="1" applyFill="1" applyBorder="1"/>
    <xf numFmtId="3" fontId="4" fillId="2" borderId="1" xfId="0" applyNumberFormat="1" applyFont="1" applyFill="1" applyBorder="1"/>
    <xf numFmtId="0" fontId="15" fillId="2" borderId="1" xfId="0" applyFont="1" applyFill="1" applyBorder="1"/>
    <xf numFmtId="0" fontId="18" fillId="2" borderId="1" xfId="0" applyFont="1" applyFill="1" applyBorder="1"/>
    <xf numFmtId="3" fontId="4" fillId="0" borderId="1" xfId="0" applyNumberFormat="1" applyFont="1" applyBorder="1"/>
    <xf numFmtId="3" fontId="4" fillId="5" borderId="1" xfId="0" applyNumberFormat="1" applyFont="1" applyFill="1" applyBorder="1"/>
    <xf numFmtId="3" fontId="4" fillId="6" borderId="1" xfId="0" applyNumberFormat="1" applyFont="1" applyFill="1" applyBorder="1"/>
    <xf numFmtId="0" fontId="4" fillId="0" borderId="1" xfId="0" applyFont="1" applyBorder="1" applyAlignment="1">
      <alignment wrapText="1"/>
    </xf>
    <xf numFmtId="0" fontId="19" fillId="0" borderId="1" xfId="0" applyFont="1" applyBorder="1" applyAlignment="1">
      <alignment horizontal="center" wrapText="1"/>
    </xf>
    <xf numFmtId="0" fontId="1" fillId="0" borderId="0" xfId="0" applyFont="1"/>
    <xf numFmtId="0" fontId="20" fillId="3" borderId="1" xfId="0" applyFont="1" applyFill="1" applyBorder="1" applyAlignment="1">
      <alignment horizontal="left"/>
    </xf>
    <xf numFmtId="0" fontId="21" fillId="3" borderId="1" xfId="0" applyFont="1" applyFill="1" applyBorder="1" applyAlignment="1">
      <alignment horizontal="left"/>
    </xf>
    <xf numFmtId="0" fontId="2" fillId="2" borderId="2" xfId="0" applyFont="1" applyFill="1" applyBorder="1" applyAlignment="1">
      <alignment horizontal="center" vertical="center"/>
    </xf>
    <xf numFmtId="0" fontId="3" fillId="0" borderId="3" xfId="0" applyFont="1" applyBorder="1"/>
    <xf numFmtId="0" fontId="3" fillId="0" borderId="4" xfId="0" applyFont="1" applyBorder="1"/>
    <xf numFmtId="0" fontId="2" fillId="0" borderId="2" xfId="0" applyFont="1" applyBorder="1" applyAlignment="1">
      <alignment horizontal="center" vertical="center"/>
    </xf>
    <xf numFmtId="0" fontId="2" fillId="2" borderId="2" xfId="0" applyFont="1" applyFill="1" applyBorder="1" applyAlignment="1">
      <alignment horizontal="center"/>
    </xf>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gadiraju@ieee.org" TargetMode="External"/><Relationship Id="rId2" Type="http://schemas.openxmlformats.org/officeDocument/2006/relationships/hyperlink" Target="mailto:shakeela_sathish@yahoo.co.in" TargetMode="External"/><Relationship Id="rId1" Type="http://schemas.openxmlformats.org/officeDocument/2006/relationships/hyperlink" Target="mailto:dd5359@srmist.edu.in" TargetMode="External"/><Relationship Id="rId5" Type="http://schemas.openxmlformats.org/officeDocument/2006/relationships/hyperlink" Target="mailto:shakeela_sathish@yahoo.co.in" TargetMode="External"/><Relationship Id="rId4" Type="http://schemas.openxmlformats.org/officeDocument/2006/relationships/hyperlink" Target="mailto:mnandhakumar07@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rr3655@srmist.edu.in" TargetMode="External"/><Relationship Id="rId1" Type="http://schemas.openxmlformats.org/officeDocument/2006/relationships/hyperlink" Target="mailto:rr3655@srmist.edu.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999"/>
  <sheetViews>
    <sheetView tabSelected="1" workbookViewId="0"/>
  </sheetViews>
  <sheetFormatPr defaultColWidth="12.6328125" defaultRowHeight="15.75" customHeight="1"/>
  <cols>
    <col min="1" max="2" width="4.7265625" customWidth="1"/>
    <col min="3" max="3" width="56.6328125" customWidth="1"/>
    <col min="4" max="4" width="20.7265625" customWidth="1"/>
    <col min="5" max="5" width="9.6328125" customWidth="1"/>
    <col min="6" max="6" width="16.08984375" customWidth="1"/>
    <col min="19" max="19" width="6.08984375" customWidth="1"/>
    <col min="20" max="20" width="10.26953125" customWidth="1"/>
    <col min="21" max="22" width="10.90625" customWidth="1"/>
    <col min="23" max="24" width="10.36328125" customWidth="1"/>
    <col min="25" max="25" width="5.6328125" customWidth="1"/>
    <col min="26" max="26" width="7" customWidth="1"/>
    <col min="27" max="27" width="20.453125" customWidth="1"/>
  </cols>
  <sheetData>
    <row r="1" spans="1:34" ht="15.75" customHeight="1">
      <c r="A1" s="1"/>
      <c r="B1" s="1"/>
      <c r="C1" s="2"/>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15.75" customHeight="1">
      <c r="A2" s="3"/>
      <c r="B2" s="4"/>
      <c r="C2" s="5"/>
      <c r="D2" s="62" t="s">
        <v>0</v>
      </c>
      <c r="E2" s="63"/>
      <c r="F2" s="64"/>
      <c r="G2" s="62" t="s">
        <v>1</v>
      </c>
      <c r="H2" s="63"/>
      <c r="I2" s="64"/>
      <c r="J2" s="62" t="s">
        <v>2</v>
      </c>
      <c r="K2" s="63"/>
      <c r="L2" s="64"/>
      <c r="M2" s="62" t="s">
        <v>3</v>
      </c>
      <c r="N2" s="63"/>
      <c r="O2" s="64"/>
      <c r="P2" s="62" t="s">
        <v>4</v>
      </c>
      <c r="Q2" s="63"/>
      <c r="R2" s="64"/>
      <c r="S2" s="4" t="s">
        <v>5</v>
      </c>
      <c r="T2" s="65" t="s">
        <v>6</v>
      </c>
      <c r="U2" s="63"/>
      <c r="V2" s="63"/>
      <c r="W2" s="63"/>
      <c r="X2" s="63"/>
      <c r="Y2" s="64"/>
      <c r="Z2" s="4" t="s">
        <v>7</v>
      </c>
      <c r="AA2" s="4" t="s">
        <v>8</v>
      </c>
      <c r="AB2" s="3"/>
      <c r="AC2" s="3"/>
      <c r="AD2" s="3"/>
      <c r="AE2" s="3"/>
      <c r="AF2" s="3"/>
      <c r="AG2" s="3"/>
      <c r="AH2" s="3"/>
    </row>
    <row r="3" spans="1:34" ht="15.75" customHeight="1">
      <c r="A3" s="3"/>
      <c r="B3" s="4" t="s">
        <v>9</v>
      </c>
      <c r="C3" s="6" t="s">
        <v>10</v>
      </c>
      <c r="D3" s="7" t="s">
        <v>11</v>
      </c>
      <c r="E3" s="7" t="s">
        <v>12</v>
      </c>
      <c r="F3" s="7" t="s">
        <v>13</v>
      </c>
      <c r="G3" s="7" t="s">
        <v>11</v>
      </c>
      <c r="H3" s="7" t="s">
        <v>12</v>
      </c>
      <c r="I3" s="7" t="s">
        <v>13</v>
      </c>
      <c r="J3" s="7" t="s">
        <v>11</v>
      </c>
      <c r="K3" s="7" t="s">
        <v>12</v>
      </c>
      <c r="L3" s="7" t="s">
        <v>14</v>
      </c>
      <c r="M3" s="7" t="s">
        <v>11</v>
      </c>
      <c r="N3" s="7" t="s">
        <v>12</v>
      </c>
      <c r="O3" s="7" t="s">
        <v>14</v>
      </c>
      <c r="P3" s="7" t="s">
        <v>11</v>
      </c>
      <c r="Q3" s="7" t="s">
        <v>12</v>
      </c>
      <c r="R3" s="7" t="s">
        <v>14</v>
      </c>
      <c r="S3" s="4"/>
      <c r="T3" s="4" t="s">
        <v>15</v>
      </c>
      <c r="U3" s="4" t="s">
        <v>16</v>
      </c>
      <c r="V3" s="4" t="s">
        <v>17</v>
      </c>
      <c r="W3" s="4" t="s">
        <v>18</v>
      </c>
      <c r="X3" s="4" t="s">
        <v>19</v>
      </c>
      <c r="Y3" s="4" t="s">
        <v>5</v>
      </c>
      <c r="Z3" s="4"/>
      <c r="AA3" s="4"/>
      <c r="AB3" s="3"/>
      <c r="AC3" s="3"/>
      <c r="AD3" s="3"/>
      <c r="AE3" s="3"/>
      <c r="AF3" s="3"/>
      <c r="AG3" s="3"/>
      <c r="AH3" s="3"/>
    </row>
    <row r="4" spans="1:34" ht="15.75" customHeight="1">
      <c r="A4" s="3"/>
      <c r="B4" s="8">
        <v>1</v>
      </c>
      <c r="C4" s="9" t="s">
        <v>20</v>
      </c>
      <c r="D4" s="10" t="s">
        <v>21</v>
      </c>
      <c r="E4" s="11">
        <v>45000</v>
      </c>
      <c r="F4" s="12" t="s">
        <v>22</v>
      </c>
      <c r="G4" s="10"/>
      <c r="H4" s="13"/>
      <c r="I4" s="14" t="s">
        <v>23</v>
      </c>
      <c r="J4" s="11" t="s">
        <v>24</v>
      </c>
      <c r="K4" s="11">
        <v>0</v>
      </c>
      <c r="L4" s="11" t="s">
        <v>25</v>
      </c>
      <c r="M4" s="11"/>
      <c r="N4" s="11"/>
      <c r="O4" s="11"/>
      <c r="P4" s="11"/>
      <c r="Q4" s="11"/>
      <c r="R4" s="11"/>
      <c r="S4" s="15">
        <f>Q4+N4+K4+H4+E4</f>
        <v>45000</v>
      </c>
      <c r="T4" s="16">
        <v>10000</v>
      </c>
      <c r="U4" s="16"/>
      <c r="V4" s="16"/>
      <c r="W4" s="16"/>
      <c r="X4" s="16"/>
      <c r="Y4" s="16">
        <f>X4+W4+V4+U4+T4</f>
        <v>10000</v>
      </c>
      <c r="Z4" s="15">
        <f>S4-Y4</f>
        <v>35000</v>
      </c>
      <c r="AA4" s="16" t="s">
        <v>26</v>
      </c>
      <c r="AB4" s="3"/>
      <c r="AC4" s="3"/>
      <c r="AD4" s="3"/>
      <c r="AE4" s="3"/>
      <c r="AF4" s="3"/>
      <c r="AG4" s="3"/>
      <c r="AH4" s="3"/>
    </row>
    <row r="5" spans="1:34" ht="15.75" customHeight="1">
      <c r="A5" s="3"/>
      <c r="B5" s="8">
        <v>2</v>
      </c>
      <c r="C5" s="9" t="s">
        <v>27</v>
      </c>
      <c r="D5" s="11" t="s">
        <v>28</v>
      </c>
      <c r="E5" s="11">
        <v>0</v>
      </c>
      <c r="F5" s="11" t="s">
        <v>25</v>
      </c>
      <c r="G5" s="17" t="s">
        <v>29</v>
      </c>
      <c r="H5" s="11">
        <v>40000</v>
      </c>
      <c r="I5" s="11"/>
      <c r="J5" s="17" t="s">
        <v>30</v>
      </c>
      <c r="K5" s="11">
        <v>40000</v>
      </c>
      <c r="L5" s="11"/>
      <c r="M5" s="17" t="s">
        <v>31</v>
      </c>
      <c r="N5" s="11"/>
      <c r="O5" s="11"/>
      <c r="P5" s="11" t="s">
        <v>32</v>
      </c>
      <c r="Q5" s="11"/>
      <c r="R5" s="11"/>
      <c r="S5" s="16">
        <v>80000</v>
      </c>
      <c r="T5" s="16">
        <v>15000</v>
      </c>
      <c r="U5" s="16">
        <v>5000</v>
      </c>
      <c r="V5" s="16"/>
      <c r="W5" s="16"/>
      <c r="X5" s="16"/>
      <c r="Y5" s="16">
        <v>20000</v>
      </c>
      <c r="Z5" s="16">
        <v>60000</v>
      </c>
      <c r="AA5" s="16" t="s">
        <v>33</v>
      </c>
      <c r="AB5" s="3"/>
      <c r="AC5" s="3"/>
      <c r="AD5" s="3"/>
      <c r="AE5" s="3"/>
      <c r="AF5" s="3"/>
      <c r="AG5" s="3"/>
      <c r="AH5" s="3"/>
    </row>
    <row r="6" spans="1:34" ht="15.75" customHeight="1">
      <c r="A6" s="3"/>
      <c r="B6" s="8">
        <v>3</v>
      </c>
      <c r="C6" s="18" t="s">
        <v>34</v>
      </c>
      <c r="D6" s="11" t="s">
        <v>35</v>
      </c>
      <c r="E6" s="11">
        <v>0</v>
      </c>
      <c r="F6" s="11" t="s">
        <v>36</v>
      </c>
      <c r="G6" s="11" t="s">
        <v>37</v>
      </c>
      <c r="H6" s="11">
        <v>0</v>
      </c>
      <c r="I6" s="11"/>
      <c r="J6" s="11" t="s">
        <v>38</v>
      </c>
      <c r="K6" s="11">
        <v>40000</v>
      </c>
      <c r="L6" s="19" t="s">
        <v>39</v>
      </c>
      <c r="M6" s="17" t="s">
        <v>30</v>
      </c>
      <c r="N6" s="11">
        <v>40000</v>
      </c>
      <c r="O6" s="20" t="s">
        <v>40</v>
      </c>
      <c r="P6" s="11" t="s">
        <v>41</v>
      </c>
      <c r="Q6" s="11"/>
      <c r="R6" s="11"/>
      <c r="S6" s="16">
        <v>80000</v>
      </c>
      <c r="T6" s="16">
        <v>15000</v>
      </c>
      <c r="U6" s="16"/>
      <c r="V6" s="16"/>
      <c r="W6" s="16"/>
      <c r="X6" s="16"/>
      <c r="Y6" s="16"/>
      <c r="Z6" s="16"/>
      <c r="AA6" s="16" t="s">
        <v>42</v>
      </c>
      <c r="AB6" s="3"/>
      <c r="AC6" s="3"/>
      <c r="AD6" s="3"/>
      <c r="AE6" s="3"/>
      <c r="AF6" s="3"/>
      <c r="AG6" s="3"/>
      <c r="AH6" s="3"/>
    </row>
    <row r="7" spans="1:34" ht="15.75" customHeight="1">
      <c r="A7" s="3"/>
      <c r="B7" s="8">
        <v>4</v>
      </c>
      <c r="C7" s="9" t="s">
        <v>43</v>
      </c>
      <c r="D7" s="11" t="s">
        <v>35</v>
      </c>
      <c r="E7" s="11">
        <v>0</v>
      </c>
      <c r="F7" s="11" t="s">
        <v>36</v>
      </c>
      <c r="G7" s="11" t="s">
        <v>37</v>
      </c>
      <c r="H7" s="11">
        <v>0</v>
      </c>
      <c r="I7" s="11"/>
      <c r="J7" s="11" t="s">
        <v>28</v>
      </c>
      <c r="K7" s="11">
        <v>40000</v>
      </c>
      <c r="L7" s="11" t="s">
        <v>25</v>
      </c>
      <c r="M7" s="17" t="s">
        <v>31</v>
      </c>
      <c r="N7" s="11">
        <v>40000</v>
      </c>
      <c r="O7" s="11"/>
      <c r="P7" s="11" t="s">
        <v>41</v>
      </c>
      <c r="Q7" s="11"/>
      <c r="R7" s="11"/>
      <c r="S7" s="16"/>
      <c r="T7" s="16"/>
      <c r="U7" s="16"/>
      <c r="V7" s="16"/>
      <c r="W7" s="16"/>
      <c r="X7" s="16"/>
      <c r="Y7" s="16"/>
      <c r="Z7" s="16"/>
      <c r="AA7" s="16" t="s">
        <v>42</v>
      </c>
      <c r="AB7" s="3"/>
      <c r="AC7" s="3"/>
      <c r="AD7" s="3"/>
      <c r="AE7" s="3"/>
      <c r="AF7" s="3"/>
      <c r="AG7" s="3"/>
      <c r="AH7" s="3"/>
    </row>
    <row r="8" spans="1:34" ht="15.75" customHeight="1">
      <c r="A8" s="3"/>
      <c r="B8" s="8">
        <v>5</v>
      </c>
      <c r="C8" s="21" t="s">
        <v>44</v>
      </c>
      <c r="D8" s="16" t="s">
        <v>45</v>
      </c>
      <c r="E8" s="11">
        <v>35000</v>
      </c>
      <c r="F8" s="22" t="s">
        <v>46</v>
      </c>
      <c r="G8" s="16" t="s">
        <v>47</v>
      </c>
      <c r="H8" s="23"/>
      <c r="I8" s="24" t="s">
        <v>48</v>
      </c>
      <c r="J8" s="11" t="s">
        <v>28</v>
      </c>
      <c r="K8" s="11">
        <v>0</v>
      </c>
      <c r="L8" s="11" t="s">
        <v>25</v>
      </c>
      <c r="M8" s="23" t="s">
        <v>49</v>
      </c>
      <c r="N8" s="23"/>
      <c r="O8" s="23"/>
      <c r="P8" s="23" t="s">
        <v>49</v>
      </c>
      <c r="Q8" s="23"/>
      <c r="R8" s="23"/>
      <c r="S8" s="3">
        <v>15000</v>
      </c>
      <c r="T8" s="3">
        <v>10000</v>
      </c>
      <c r="U8" s="3"/>
      <c r="V8" s="3"/>
      <c r="W8" s="3"/>
      <c r="X8" s="3"/>
      <c r="Y8" s="3">
        <v>10000</v>
      </c>
      <c r="Z8" s="3">
        <v>5000</v>
      </c>
      <c r="AA8" s="16" t="s">
        <v>42</v>
      </c>
      <c r="AB8" s="3"/>
      <c r="AC8" s="3"/>
      <c r="AD8" s="3"/>
      <c r="AE8" s="3"/>
      <c r="AF8" s="3"/>
      <c r="AG8" s="3"/>
      <c r="AH8" s="3"/>
    </row>
    <row r="9" spans="1:34" ht="15.75" customHeight="1">
      <c r="A9" s="3"/>
      <c r="B9" s="3">
        <v>6</v>
      </c>
      <c r="C9" s="25" t="s">
        <v>50</v>
      </c>
      <c r="D9" s="23" t="s">
        <v>51</v>
      </c>
      <c r="E9" s="23">
        <v>15000</v>
      </c>
      <c r="F9" s="23"/>
      <c r="G9" s="23" t="s">
        <v>52</v>
      </c>
      <c r="H9" s="23"/>
      <c r="I9" s="23" t="s">
        <v>25</v>
      </c>
      <c r="J9" s="23"/>
      <c r="K9" s="23" t="s">
        <v>49</v>
      </c>
      <c r="L9" s="23"/>
      <c r="M9" s="23" t="s">
        <v>49</v>
      </c>
      <c r="N9" s="23"/>
      <c r="O9" s="23"/>
      <c r="P9" s="23"/>
      <c r="Q9" s="23"/>
      <c r="R9" s="23"/>
      <c r="S9" s="3">
        <v>35000</v>
      </c>
      <c r="T9" s="3">
        <v>10000</v>
      </c>
      <c r="U9" s="3">
        <v>5000</v>
      </c>
      <c r="V9" s="3"/>
      <c r="W9" s="3"/>
      <c r="X9" s="3"/>
      <c r="Y9" s="3">
        <v>15000</v>
      </c>
      <c r="Z9" s="3">
        <v>20000</v>
      </c>
      <c r="AA9" s="16" t="s">
        <v>53</v>
      </c>
      <c r="AB9" s="3"/>
      <c r="AC9" s="3"/>
      <c r="AD9" s="3"/>
      <c r="AE9" s="3"/>
      <c r="AF9" s="3"/>
      <c r="AG9" s="3"/>
      <c r="AH9" s="3"/>
    </row>
    <row r="10" spans="1:34" ht="15.75" customHeight="1">
      <c r="A10" s="3"/>
      <c r="B10" s="3">
        <v>7</v>
      </c>
      <c r="C10" s="3" t="s">
        <v>54</v>
      </c>
      <c r="D10" s="23" t="s">
        <v>55</v>
      </c>
      <c r="E10" s="23">
        <v>15000</v>
      </c>
      <c r="F10" s="23"/>
      <c r="G10" s="23" t="s">
        <v>52</v>
      </c>
      <c r="H10" s="23"/>
      <c r="I10" s="23" t="s">
        <v>25</v>
      </c>
      <c r="J10" s="23"/>
      <c r="K10" s="23"/>
      <c r="L10" s="23"/>
      <c r="M10" s="23"/>
      <c r="N10" s="23"/>
      <c r="O10" s="23"/>
      <c r="P10" s="23"/>
      <c r="Q10" s="23"/>
      <c r="R10" s="23"/>
      <c r="S10" s="3"/>
      <c r="T10" s="3">
        <v>10000</v>
      </c>
      <c r="U10" s="3"/>
      <c r="V10" s="3"/>
      <c r="W10" s="3"/>
      <c r="X10" s="3"/>
      <c r="Y10" s="3"/>
      <c r="Z10" s="3"/>
      <c r="AA10" s="16" t="s">
        <v>42</v>
      </c>
      <c r="AB10" s="3"/>
      <c r="AC10" s="3"/>
      <c r="AD10" s="3"/>
      <c r="AE10" s="3"/>
      <c r="AF10" s="3"/>
      <c r="AG10" s="3"/>
      <c r="AH10" s="3"/>
    </row>
    <row r="11" spans="1:34" ht="15.75" customHeight="1">
      <c r="A11" s="3"/>
      <c r="B11" s="3">
        <v>8</v>
      </c>
      <c r="C11" s="25" t="s">
        <v>56</v>
      </c>
      <c r="D11" s="23" t="s">
        <v>57</v>
      </c>
      <c r="E11" s="23">
        <v>15000</v>
      </c>
      <c r="F11" s="23" t="s">
        <v>58</v>
      </c>
      <c r="G11" s="23" t="s">
        <v>52</v>
      </c>
      <c r="H11" s="23"/>
      <c r="I11" s="23" t="s">
        <v>25</v>
      </c>
      <c r="J11" s="23"/>
      <c r="K11" s="23"/>
      <c r="L11" s="23"/>
      <c r="M11" s="23"/>
      <c r="N11" s="23"/>
      <c r="O11" s="23"/>
      <c r="P11" s="23"/>
      <c r="Q11" s="23"/>
      <c r="R11" s="23"/>
      <c r="S11" s="3"/>
      <c r="T11" s="3">
        <v>10000</v>
      </c>
      <c r="U11" s="3"/>
      <c r="V11" s="3"/>
      <c r="W11" s="3"/>
      <c r="X11" s="3"/>
      <c r="Y11" s="3"/>
      <c r="Z11" s="3"/>
      <c r="AA11" s="16" t="s">
        <v>42</v>
      </c>
      <c r="AB11" s="3"/>
      <c r="AC11" s="3"/>
      <c r="AD11" s="3"/>
      <c r="AE11" s="3"/>
      <c r="AF11" s="3"/>
      <c r="AG11" s="3"/>
      <c r="AH11" s="3"/>
    </row>
    <row r="12" spans="1:34" ht="15.75" customHeight="1">
      <c r="A12" s="3"/>
      <c r="B12" s="1">
        <v>9</v>
      </c>
      <c r="C12" s="26" t="s">
        <v>59</v>
      </c>
      <c r="D12" s="11" t="s">
        <v>38</v>
      </c>
      <c r="E12" s="11" t="s">
        <v>60</v>
      </c>
      <c r="F12" s="19" t="s">
        <v>39</v>
      </c>
      <c r="G12" s="27" t="s">
        <v>28</v>
      </c>
      <c r="H12" s="11"/>
      <c r="I12" s="28" t="s">
        <v>25</v>
      </c>
      <c r="J12" s="11"/>
      <c r="K12" s="11"/>
      <c r="L12" s="11"/>
      <c r="M12" s="11"/>
      <c r="N12" s="11"/>
      <c r="O12" s="11"/>
      <c r="P12" s="11"/>
      <c r="Q12" s="11"/>
      <c r="R12" s="11"/>
      <c r="S12" s="16"/>
      <c r="T12" s="16">
        <v>15000</v>
      </c>
      <c r="U12" s="3"/>
      <c r="V12" s="3"/>
      <c r="W12" s="3"/>
      <c r="X12" s="3"/>
      <c r="Y12" s="3"/>
      <c r="Z12" s="29" t="s">
        <v>61</v>
      </c>
      <c r="AA12" s="29" t="s">
        <v>42</v>
      </c>
      <c r="AB12" s="3"/>
      <c r="AC12" s="1"/>
      <c r="AD12" s="3"/>
      <c r="AE12" s="3"/>
      <c r="AF12" s="3"/>
      <c r="AG12" s="3"/>
      <c r="AH12" s="3"/>
    </row>
    <row r="13" spans="1:34" ht="15.75" customHeight="1">
      <c r="A13" s="3"/>
      <c r="B13" s="1">
        <v>10</v>
      </c>
      <c r="C13" s="26" t="s">
        <v>62</v>
      </c>
      <c r="D13" s="11" t="s">
        <v>38</v>
      </c>
      <c r="E13" s="11" t="s">
        <v>63</v>
      </c>
      <c r="F13" s="19" t="s">
        <v>39</v>
      </c>
      <c r="G13" s="27" t="s">
        <v>28</v>
      </c>
      <c r="H13" s="23"/>
      <c r="I13" s="28" t="s">
        <v>25</v>
      </c>
      <c r="J13" s="23"/>
      <c r="K13" s="23"/>
      <c r="L13" s="23"/>
      <c r="M13" s="23"/>
      <c r="N13" s="23"/>
      <c r="O13" s="23"/>
      <c r="P13" s="23"/>
      <c r="Q13" s="23"/>
      <c r="R13" s="23"/>
      <c r="S13" s="3"/>
      <c r="T13" s="16">
        <v>15000</v>
      </c>
      <c r="U13" s="3"/>
      <c r="V13" s="3"/>
      <c r="W13" s="3"/>
      <c r="X13" s="3"/>
      <c r="Y13" s="3"/>
      <c r="Z13" s="3"/>
      <c r="AA13" s="16" t="s">
        <v>42</v>
      </c>
      <c r="AB13" s="3"/>
      <c r="AC13" s="1"/>
      <c r="AD13" s="3"/>
      <c r="AE13" s="3"/>
      <c r="AF13" s="3"/>
      <c r="AG13" s="3"/>
      <c r="AH13" s="3"/>
    </row>
    <row r="14" spans="1:34" ht="15.75" customHeight="1">
      <c r="A14" s="30"/>
      <c r="B14" s="1">
        <v>11</v>
      </c>
      <c r="C14" s="31" t="s">
        <v>64</v>
      </c>
      <c r="D14" s="32" t="s">
        <v>38</v>
      </c>
      <c r="E14" s="33">
        <v>50000</v>
      </c>
      <c r="F14" s="34" t="s">
        <v>39</v>
      </c>
      <c r="G14" s="35" t="s">
        <v>28</v>
      </c>
      <c r="H14" s="36"/>
      <c r="I14" s="37" t="s">
        <v>25</v>
      </c>
      <c r="J14" s="36"/>
      <c r="K14" s="36"/>
      <c r="L14" s="36"/>
      <c r="M14" s="36"/>
      <c r="N14" s="36"/>
      <c r="O14" s="36"/>
      <c r="P14" s="36"/>
      <c r="Q14" s="36"/>
      <c r="R14" s="36"/>
      <c r="S14" s="30"/>
      <c r="T14" s="38">
        <v>15000</v>
      </c>
      <c r="U14" s="30"/>
      <c r="V14" s="30"/>
      <c r="W14" s="30"/>
      <c r="X14" s="30"/>
      <c r="Y14" s="30"/>
      <c r="Z14" s="30"/>
      <c r="AA14" s="16" t="s">
        <v>42</v>
      </c>
      <c r="AB14" s="30"/>
      <c r="AC14" s="30"/>
      <c r="AD14" s="30"/>
      <c r="AE14" s="30"/>
      <c r="AF14" s="30"/>
      <c r="AG14" s="30"/>
      <c r="AH14" s="30"/>
    </row>
    <row r="15" spans="1:34" ht="15.75" customHeight="1">
      <c r="A15" s="3"/>
      <c r="B15" s="1">
        <v>12</v>
      </c>
      <c r="C15" s="1" t="s">
        <v>65</v>
      </c>
      <c r="D15" s="39" t="s">
        <v>66</v>
      </c>
      <c r="E15" s="39">
        <v>15000</v>
      </c>
      <c r="F15" s="39"/>
      <c r="G15" s="39" t="s">
        <v>67</v>
      </c>
      <c r="H15" s="39"/>
      <c r="I15" s="39"/>
      <c r="J15" s="39" t="s">
        <v>68</v>
      </c>
      <c r="K15" s="39"/>
      <c r="L15" s="39"/>
      <c r="M15" s="39" t="s">
        <v>69</v>
      </c>
      <c r="N15" s="39"/>
      <c r="O15" s="39"/>
      <c r="P15" s="39"/>
      <c r="Q15" s="39"/>
      <c r="R15" s="39"/>
      <c r="S15" s="1"/>
      <c r="T15" s="1">
        <v>15000</v>
      </c>
      <c r="U15" s="1"/>
      <c r="V15" s="1"/>
      <c r="W15" s="1"/>
      <c r="X15" s="1"/>
      <c r="Y15" s="1"/>
      <c r="Z15" s="1" t="s">
        <v>70</v>
      </c>
      <c r="AA15" s="29" t="s">
        <v>42</v>
      </c>
      <c r="AB15" s="3"/>
      <c r="AC15" s="3"/>
      <c r="AD15" s="3"/>
      <c r="AE15" s="3"/>
      <c r="AF15" s="3"/>
      <c r="AG15" s="3"/>
      <c r="AH15" s="3"/>
    </row>
    <row r="16" spans="1:34" ht="15.75" customHeight="1">
      <c r="A16" s="1"/>
      <c r="B16" s="1">
        <v>13</v>
      </c>
      <c r="C16" s="40" t="s">
        <v>71</v>
      </c>
      <c r="D16" s="1" t="s">
        <v>72</v>
      </c>
      <c r="E16" s="1">
        <v>10000</v>
      </c>
      <c r="F16" s="1"/>
      <c r="G16" s="35" t="s">
        <v>28</v>
      </c>
      <c r="H16" s="36"/>
      <c r="I16" s="37" t="s">
        <v>25</v>
      </c>
      <c r="J16" s="1"/>
      <c r="K16" s="1"/>
      <c r="L16" s="1"/>
      <c r="M16" s="1"/>
      <c r="N16" s="1"/>
      <c r="O16" s="1"/>
      <c r="P16" s="1"/>
      <c r="Q16" s="1"/>
      <c r="R16" s="1"/>
      <c r="S16" s="1"/>
      <c r="T16" s="1">
        <v>10000</v>
      </c>
      <c r="U16" s="1"/>
      <c r="V16" s="1"/>
      <c r="W16" s="1"/>
      <c r="X16" s="1"/>
      <c r="Y16" s="1"/>
      <c r="Z16" s="1"/>
      <c r="AA16" s="29" t="s">
        <v>42</v>
      </c>
      <c r="AB16" s="1"/>
      <c r="AC16" s="1"/>
      <c r="AD16" s="1"/>
      <c r="AE16" s="1"/>
      <c r="AF16" s="1"/>
      <c r="AG16" s="1"/>
      <c r="AH16" s="1"/>
    </row>
    <row r="17" spans="1:34" ht="15.75" customHeight="1">
      <c r="A17" s="1"/>
      <c r="B17" s="1">
        <v>14</v>
      </c>
      <c r="C17" s="40" t="s">
        <v>73</v>
      </c>
      <c r="D17" s="1" t="s">
        <v>72</v>
      </c>
      <c r="E17" s="1">
        <v>10000</v>
      </c>
      <c r="F17" s="1"/>
      <c r="G17" s="35" t="s">
        <v>28</v>
      </c>
      <c r="H17" s="36"/>
      <c r="I17" s="37" t="s">
        <v>25</v>
      </c>
      <c r="J17" s="1"/>
      <c r="K17" s="1"/>
      <c r="L17" s="1"/>
      <c r="M17" s="1"/>
      <c r="N17" s="1"/>
      <c r="O17" s="1"/>
      <c r="P17" s="1"/>
      <c r="Q17" s="1"/>
      <c r="R17" s="1"/>
      <c r="S17" s="1"/>
      <c r="T17" s="1">
        <v>10000</v>
      </c>
      <c r="U17" s="1"/>
      <c r="V17" s="1"/>
      <c r="W17" s="1"/>
      <c r="X17" s="1"/>
      <c r="Y17" s="1"/>
      <c r="Z17" s="1"/>
      <c r="AA17" s="29" t="s">
        <v>42</v>
      </c>
      <c r="AB17" s="1"/>
      <c r="AC17" s="1"/>
      <c r="AD17" s="1"/>
      <c r="AE17" s="1"/>
      <c r="AF17" s="1"/>
      <c r="AG17" s="1"/>
      <c r="AH17" s="1"/>
    </row>
    <row r="18" spans="1:34" ht="15.75" customHeight="1">
      <c r="A18" s="1"/>
      <c r="B18" s="1">
        <v>15</v>
      </c>
      <c r="C18" s="40" t="s">
        <v>74</v>
      </c>
      <c r="D18" s="1" t="s">
        <v>55</v>
      </c>
      <c r="E18" s="1">
        <v>10000</v>
      </c>
      <c r="F18" s="1"/>
      <c r="G18" s="35" t="s">
        <v>28</v>
      </c>
      <c r="H18" s="36"/>
      <c r="I18" s="37" t="s">
        <v>25</v>
      </c>
      <c r="J18" s="1"/>
      <c r="K18" s="1"/>
      <c r="L18" s="1"/>
      <c r="M18" s="1"/>
      <c r="N18" s="1"/>
      <c r="O18" s="1"/>
      <c r="P18" s="1"/>
      <c r="Q18" s="1"/>
      <c r="R18" s="1"/>
      <c r="S18" s="1"/>
      <c r="T18" s="1">
        <v>10000</v>
      </c>
      <c r="U18" s="1"/>
      <c r="V18" s="1"/>
      <c r="W18" s="1"/>
      <c r="X18" s="1"/>
      <c r="Y18" s="1"/>
      <c r="Z18" s="1"/>
      <c r="AA18" s="29" t="s">
        <v>42</v>
      </c>
      <c r="AB18" s="1"/>
      <c r="AC18" s="1"/>
      <c r="AD18" s="1"/>
      <c r="AE18" s="1"/>
      <c r="AF18" s="1"/>
      <c r="AG18" s="1"/>
      <c r="AH18" s="1"/>
    </row>
    <row r="19" spans="1:34" ht="15.75" customHeight="1">
      <c r="A19" s="1"/>
      <c r="B19" s="1">
        <v>16</v>
      </c>
      <c r="C19" s="2" t="s">
        <v>75</v>
      </c>
      <c r="D19" s="1" t="s">
        <v>51</v>
      </c>
      <c r="E19" s="1">
        <v>10000</v>
      </c>
      <c r="F19" s="1"/>
      <c r="G19" s="35" t="s">
        <v>28</v>
      </c>
      <c r="H19" s="36"/>
      <c r="I19" s="37" t="s">
        <v>25</v>
      </c>
      <c r="J19" s="1"/>
      <c r="K19" s="1"/>
      <c r="L19" s="1"/>
      <c r="M19" s="1"/>
      <c r="N19" s="1"/>
      <c r="O19" s="1"/>
      <c r="P19" s="1"/>
      <c r="Q19" s="1"/>
      <c r="R19" s="1"/>
      <c r="S19" s="1"/>
      <c r="T19" s="1">
        <v>10000</v>
      </c>
      <c r="U19" s="1"/>
      <c r="V19" s="1"/>
      <c r="W19" s="1"/>
      <c r="X19" s="1"/>
      <c r="Y19" s="1"/>
      <c r="Z19" s="1"/>
      <c r="AA19" s="29" t="s">
        <v>42</v>
      </c>
      <c r="AB19" s="1"/>
      <c r="AC19" s="1"/>
      <c r="AD19" s="1"/>
      <c r="AE19" s="1"/>
      <c r="AF19" s="1"/>
      <c r="AG19" s="1"/>
      <c r="AH19" s="1"/>
    </row>
    <row r="20" spans="1:34" ht="12.5">
      <c r="A20" s="1"/>
      <c r="B20" s="1"/>
      <c r="C20" s="2"/>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spans="1:34" ht="12.5">
      <c r="A21" s="1"/>
      <c r="B21" s="1"/>
      <c r="C21" s="2"/>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spans="1:34" ht="12.5">
      <c r="A22" s="1"/>
      <c r="B22" s="1"/>
      <c r="C22" s="2"/>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spans="1:34" ht="12.5">
      <c r="A23" s="1"/>
      <c r="B23" s="1"/>
      <c r="C23" s="2"/>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spans="1:34" ht="12.5">
      <c r="A24" s="1"/>
      <c r="B24" s="1"/>
      <c r="C24" s="2"/>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spans="1:34" ht="12.5">
      <c r="A25" s="1"/>
      <c r="B25" s="1"/>
      <c r="C25" s="2"/>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spans="1:34" ht="12.5">
      <c r="A26" s="1"/>
      <c r="B26" s="1"/>
      <c r="C26" s="2"/>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spans="1:34" ht="12.5">
      <c r="A27" s="1"/>
      <c r="B27" s="1"/>
      <c r="C27" s="2"/>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spans="1:34" ht="12.5">
      <c r="A28" s="1"/>
      <c r="B28" s="1"/>
      <c r="C28" s="2"/>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spans="1:34" ht="12.5">
      <c r="A29" s="1"/>
      <c r="B29" s="1"/>
      <c r="C29" s="2"/>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spans="1:34" ht="12.5">
      <c r="A30" s="1"/>
      <c r="B30" s="1"/>
      <c r="C30" s="2"/>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spans="1:34" ht="12.5">
      <c r="A31" s="1"/>
      <c r="B31" s="1"/>
      <c r="C31" s="2"/>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spans="1:34" ht="12.5">
      <c r="A32" s="1"/>
      <c r="B32" s="1"/>
      <c r="C32" s="2"/>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spans="1:34" ht="12.5">
      <c r="A33" s="1"/>
      <c r="B33" s="1"/>
      <c r="C33" s="2"/>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spans="1:34" ht="12.5">
      <c r="A34" s="1"/>
      <c r="B34" s="1"/>
      <c r="C34" s="2"/>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spans="1:34" ht="12.5">
      <c r="A35" s="1"/>
      <c r="B35" s="1"/>
      <c r="C35" s="2"/>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1:34" ht="12.5">
      <c r="A36" s="1"/>
      <c r="B36" s="1"/>
      <c r="C36" s="2"/>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1:34" ht="12.5">
      <c r="A37" s="1"/>
      <c r="B37" s="1"/>
      <c r="C37" s="2"/>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1:34" ht="12.5">
      <c r="A38" s="1"/>
      <c r="B38" s="1"/>
      <c r="C38" s="2"/>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ht="12.5">
      <c r="A39" s="1"/>
      <c r="B39" s="1"/>
      <c r="C39" s="2"/>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1:34" ht="12.5">
      <c r="A40" s="1"/>
      <c r="B40" s="1"/>
      <c r="C40" s="2"/>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2.5">
      <c r="A41" s="1"/>
      <c r="B41" s="1"/>
      <c r="C41" s="2"/>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2.5">
      <c r="A42" s="1"/>
      <c r="B42" s="1"/>
      <c r="C42" s="2"/>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2.5">
      <c r="A43" s="1"/>
      <c r="B43" s="1"/>
      <c r="C43" s="2"/>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2.5">
      <c r="A44" s="1"/>
      <c r="B44" s="1"/>
      <c r="C44" s="2"/>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2.5">
      <c r="A45" s="1"/>
      <c r="B45" s="1"/>
      <c r="C45" s="2"/>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2.5">
      <c r="A46" s="1"/>
      <c r="B46" s="1"/>
      <c r="C46" s="2"/>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2.5">
      <c r="A47" s="1"/>
      <c r="B47" s="1"/>
      <c r="C47" s="2"/>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2.5">
      <c r="A48" s="1"/>
      <c r="B48" s="1"/>
      <c r="C48" s="2"/>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2.5">
      <c r="A49" s="1"/>
      <c r="B49" s="1"/>
      <c r="C49" s="2"/>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2.5">
      <c r="A50" s="1"/>
      <c r="B50" s="1"/>
      <c r="C50" s="2"/>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2.5">
      <c r="A51" s="1"/>
      <c r="B51" s="1"/>
      <c r="C51" s="2"/>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2.5">
      <c r="A52" s="1"/>
      <c r="B52" s="1"/>
      <c r="C52" s="2"/>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2.5">
      <c r="A53" s="1"/>
      <c r="B53" s="1"/>
      <c r="C53" s="2"/>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2.5">
      <c r="A54" s="1"/>
      <c r="B54" s="1"/>
      <c r="C54" s="2"/>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2.5">
      <c r="A55" s="1"/>
      <c r="B55" s="1"/>
      <c r="C55" s="2"/>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2.5">
      <c r="A56" s="1"/>
      <c r="B56" s="1"/>
      <c r="C56" s="2"/>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2.5">
      <c r="A57" s="1"/>
      <c r="B57" s="1"/>
      <c r="C57" s="2"/>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2.5">
      <c r="A58" s="1"/>
      <c r="B58" s="1"/>
      <c r="C58" s="2"/>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2.5">
      <c r="A59" s="1"/>
      <c r="B59" s="1"/>
      <c r="C59" s="2"/>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2.5">
      <c r="A60" s="1"/>
      <c r="B60" s="1"/>
      <c r="C60" s="2"/>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2.5">
      <c r="A61" s="1"/>
      <c r="B61" s="1"/>
      <c r="C61" s="2"/>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2.5">
      <c r="A62" s="1"/>
      <c r="B62" s="1"/>
      <c r="C62" s="2"/>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2.5">
      <c r="A63" s="1"/>
      <c r="B63" s="1"/>
      <c r="C63" s="2"/>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2.5">
      <c r="A64" s="1"/>
      <c r="B64" s="1"/>
      <c r="C64" s="2"/>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2.5">
      <c r="A65" s="1"/>
      <c r="B65" s="1"/>
      <c r="C65" s="2"/>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2.5">
      <c r="A66" s="1"/>
      <c r="B66" s="1"/>
      <c r="C66" s="2"/>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2.5">
      <c r="A67" s="1"/>
      <c r="B67" s="1"/>
      <c r="C67" s="2"/>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2.5">
      <c r="A68" s="1"/>
      <c r="B68" s="1"/>
      <c r="C68" s="2"/>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2.5">
      <c r="A69" s="1"/>
      <c r="B69" s="1"/>
      <c r="C69" s="2"/>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2.5">
      <c r="A70" s="1"/>
      <c r="B70" s="1"/>
      <c r="C70" s="2"/>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2.5">
      <c r="A71" s="1"/>
      <c r="B71" s="1"/>
      <c r="C71" s="2"/>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2.5">
      <c r="A72" s="1"/>
      <c r="B72" s="1"/>
      <c r="C72" s="2"/>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2.5">
      <c r="A73" s="1"/>
      <c r="B73" s="1"/>
      <c r="C73" s="2"/>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2.5">
      <c r="A74" s="1"/>
      <c r="B74" s="1"/>
      <c r="C74" s="2"/>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2.5">
      <c r="A75" s="1"/>
      <c r="B75" s="1"/>
      <c r="C75" s="2"/>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2.5">
      <c r="A76" s="1"/>
      <c r="B76" s="1"/>
      <c r="C76" s="2"/>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2.5">
      <c r="A77" s="1"/>
      <c r="B77" s="1"/>
      <c r="C77" s="2"/>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2.5">
      <c r="A78" s="1"/>
      <c r="B78" s="1"/>
      <c r="C78" s="2"/>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2.5">
      <c r="A79" s="1"/>
      <c r="B79" s="1"/>
      <c r="C79" s="2"/>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2.5">
      <c r="A80" s="1"/>
      <c r="B80" s="1"/>
      <c r="C80" s="2"/>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2.5">
      <c r="A81" s="1"/>
      <c r="B81" s="1"/>
      <c r="C81" s="2"/>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2.5">
      <c r="A82" s="1"/>
      <c r="B82" s="1"/>
      <c r="C82" s="2"/>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2.5">
      <c r="A83" s="1"/>
      <c r="B83" s="1"/>
      <c r="C83" s="2"/>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2.5">
      <c r="A84" s="1"/>
      <c r="B84" s="1"/>
      <c r="C84" s="2"/>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2.5">
      <c r="A85" s="1"/>
      <c r="B85" s="1"/>
      <c r="C85" s="2"/>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2.5">
      <c r="A86" s="1"/>
      <c r="B86" s="1"/>
      <c r="C86" s="2"/>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2.5">
      <c r="A87" s="1"/>
      <c r="B87" s="1"/>
      <c r="C87" s="2"/>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2.5">
      <c r="A88" s="1"/>
      <c r="B88" s="1"/>
      <c r="C88" s="2"/>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2.5">
      <c r="A89" s="1"/>
      <c r="B89" s="1"/>
      <c r="C89" s="2"/>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2.5">
      <c r="A90" s="1"/>
      <c r="B90" s="1"/>
      <c r="C90" s="2"/>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2.5">
      <c r="A91" s="1"/>
      <c r="B91" s="1"/>
      <c r="C91" s="2"/>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2.5">
      <c r="A92" s="1"/>
      <c r="B92" s="1"/>
      <c r="C92" s="2"/>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2.5">
      <c r="A93" s="1"/>
      <c r="B93" s="1"/>
      <c r="C93" s="2"/>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2.5">
      <c r="A94" s="1"/>
      <c r="B94" s="1"/>
      <c r="C94" s="2"/>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2.5">
      <c r="A95" s="1"/>
      <c r="B95" s="1"/>
      <c r="C95" s="2"/>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2.5">
      <c r="A96" s="1"/>
      <c r="B96" s="1"/>
      <c r="C96" s="2"/>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2.5">
      <c r="A97" s="1"/>
      <c r="B97" s="1"/>
      <c r="C97" s="2"/>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2.5">
      <c r="A98" s="1"/>
      <c r="B98" s="1"/>
      <c r="C98" s="2"/>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2.5">
      <c r="A99" s="1"/>
      <c r="B99" s="1"/>
      <c r="C99" s="2"/>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2.5">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2.5">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2.5">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2.5">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2.5">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2.5">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2.5">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2.5">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2.5">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2.5">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2.5">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2.5">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2.5">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2.5">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2.5">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2.5">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2.5">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2.5">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2.5">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2.5">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2.5">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2.5">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2.5">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2.5">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2.5">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2.5">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2.5">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2.5">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2.5">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2.5">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2.5">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2.5">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2.5">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2.5">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2.5">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2.5">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2.5">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2.5">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2.5">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2.5">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2.5">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2.5">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2.5">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2.5">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2.5">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2.5">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2.5">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2.5">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2.5">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2.5">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2.5">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2.5">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2.5">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2.5">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2.5">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2.5">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2.5">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2.5">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2.5">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2.5">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2.5">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2.5">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2.5">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2.5">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2.5">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2.5">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2.5">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2.5">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2.5">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2.5">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2.5">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2.5">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2.5">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2.5">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2.5">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2.5">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2.5">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2.5">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2.5">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2.5">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2.5">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2.5">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2.5">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2.5">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2.5">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2.5">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2.5">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2.5">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2.5">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2.5">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2.5">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2.5">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2.5">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2.5">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2.5">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2.5">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2.5">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2.5">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2.5">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2.5">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2.5">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2.5">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ht="12.5">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ht="12.5">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ht="12.5">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ht="12.5">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ht="12.5">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ht="12.5">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ht="12.5">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ht="12.5">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ht="12.5">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ht="12.5">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ht="12.5">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ht="12.5">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ht="12.5">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ht="12.5">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ht="12.5">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ht="12.5">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ht="12.5">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ht="12.5">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ht="12.5">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2.5">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ht="12.5">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ht="12.5">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2.5">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2.5">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2.5">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2.5">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2.5">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2.5">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2.5">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2.5">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2.5">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2.5">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2.5">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2.5">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2.5">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2.5">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2.5">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2.5">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2.5">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2.5">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2.5">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2.5">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2.5">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2.5">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2.5">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2.5">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2.5">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2.5">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2.5">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2.5">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2.5">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2.5">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2.5">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2.5">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2.5">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2.5">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2.5">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2.5">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2.5">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2.5">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2.5">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2.5">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2.5">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2.5">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2.5">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2.5">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2.5">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2.5">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2.5">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2.5">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2.5">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2.5">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2.5">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2.5">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2.5">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2.5">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2.5">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2.5">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2.5">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2.5">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2.5">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2.5">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2.5">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2.5">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2.5">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2.5">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2.5">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2.5">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2.5">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2.5">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2.5">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2.5">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2.5">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2.5">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2.5">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2.5">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2.5">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2.5">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2.5">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2.5">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2.5">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2.5">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2.5">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2.5">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2.5">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2.5">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2.5">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2.5">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2.5">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2.5">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2.5">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2.5">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2.5">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2.5">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2.5">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2.5">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2.5">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2.5">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2.5">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2.5">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2.5">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2.5">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2.5">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2.5">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2.5">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2.5">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2.5">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2.5">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2.5">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2.5">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2.5">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2.5">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2.5">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2.5">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2.5">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2.5">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2.5">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2.5">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2.5">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2.5">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2.5">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2.5">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2.5">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2.5">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2.5">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2.5">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2.5">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2.5">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2.5">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2.5">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2.5">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2.5">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2.5">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2.5">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2.5">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2.5">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2.5">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2.5">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2.5">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2.5">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2.5">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2.5">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2.5">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2.5">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2.5">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2.5">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2.5">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2.5">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2.5">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2.5">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2.5">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2.5">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2.5">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2.5">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2.5">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2.5">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2.5">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2.5">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2.5">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2.5">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2.5">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2.5">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2.5">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2.5">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2.5">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2.5">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2.5">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2.5">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2.5">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2.5">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2.5">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2.5">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2.5">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2.5">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2.5">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2.5">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2.5">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2.5">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2.5">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2.5">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2.5">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2.5">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2.5">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2.5">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2.5">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2.5">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2.5">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2.5">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2.5">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2.5">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2.5">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2.5">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2.5">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2.5">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2.5">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2.5">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2.5">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2.5">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2.5">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2.5">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2.5">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2.5">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2.5">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2.5">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2.5">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2.5">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2.5">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2.5">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2.5">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2.5">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2.5">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2.5">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2.5">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2.5">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2.5">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2.5">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2.5">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2.5">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2.5">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2.5">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2.5">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2.5">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2.5">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2.5">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2.5">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2.5">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2.5">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2.5">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2.5">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2.5">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2.5">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2.5">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2.5">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2.5">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2.5">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2.5">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2.5">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2.5">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2.5">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2.5">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2.5">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2.5">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2.5">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2.5">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2.5">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2.5">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2.5">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2.5">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2.5">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2.5">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2.5">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2.5">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2.5">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2.5">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2.5">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2.5">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2.5">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2.5">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2.5">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2.5">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2.5">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2.5">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2.5">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2.5">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2.5">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2.5">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2.5">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2.5">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2.5">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2.5">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2.5">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2.5">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2.5">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2.5">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2.5">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2.5">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2.5">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2.5">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2.5">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2.5">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2.5">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2.5">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2.5">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2.5">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2.5">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2.5">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2.5">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2.5">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2.5">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2.5">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2.5">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2.5">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2.5">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2.5">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2.5">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2.5">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2.5">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2.5">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2.5">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2.5">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2.5">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2.5">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2.5">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2.5">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2.5">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2.5">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2.5">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2.5">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2.5">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2.5">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2.5">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2.5">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2.5">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2.5">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2.5">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2.5">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2.5">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2.5">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2.5">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2.5">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2.5">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2.5">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2.5">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2.5">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2.5">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2.5">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2.5">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2.5">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2.5">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2.5">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2.5">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2.5">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2.5">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2.5">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2.5">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2.5">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2.5">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2.5">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2.5">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2.5">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2.5">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2.5">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2.5">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2.5">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2.5">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2.5">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2.5">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2.5">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2.5">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2.5">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2.5">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2.5">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2.5">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2.5">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2.5">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2.5">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2.5">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2.5">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2.5">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2.5">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2.5">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2.5">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2.5">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2.5">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2.5">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2.5">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2.5">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2.5">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2.5">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2.5">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2.5">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2.5">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2.5">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2.5">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2.5">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2.5">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2.5">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2.5">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2.5">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2.5">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2.5">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2.5">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2.5">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2.5">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2.5">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2.5">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2.5">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2.5">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2.5">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2.5">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2.5">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2.5">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2.5">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2.5">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2.5">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2.5">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2.5">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2.5">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2.5">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2.5">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2.5">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2.5">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2.5">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2.5">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2.5">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2.5">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2.5">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2.5">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2.5">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2.5">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2.5">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2.5">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2.5">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2.5">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2.5">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2.5">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2.5">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2.5">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2.5">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2.5">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2.5">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2.5">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2.5">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2.5">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2.5">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2.5">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2.5">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2.5">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2.5">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2.5">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2.5">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2.5">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2.5">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2.5">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2.5">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2.5">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2.5">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2.5">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2.5">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2.5">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2.5">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2.5">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2.5">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2.5">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2.5">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2.5">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2.5">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2.5">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2.5">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2.5">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2.5">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2.5">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2.5">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2.5">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2.5">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2.5">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2.5">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2.5">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2.5">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2.5">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2.5">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2.5">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2.5">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2.5">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2.5">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2.5">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2.5">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2.5">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2.5">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2.5">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2.5">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2.5">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2.5">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2.5">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2.5">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2.5">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2.5">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2.5">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2.5">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2.5">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2.5">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2.5">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2.5">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2.5">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2.5">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2.5">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2.5">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2.5">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2.5">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2.5">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2.5">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2.5">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2.5">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2.5">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2.5">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2.5">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2.5">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2.5">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2.5">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2.5">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2.5">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2.5">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2.5">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2.5">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2.5">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2.5">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2.5">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2.5">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2.5">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2.5">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2.5">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2.5">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2.5">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2.5">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2.5">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2.5">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2.5">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2.5">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2.5">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2.5">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2.5">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2.5">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2.5">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2.5">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2.5">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2.5">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2.5">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2.5">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2.5">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2.5">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2.5">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2.5">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2.5">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2.5">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2.5">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2.5">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2.5">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2.5">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2.5">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2.5">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2.5">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2.5">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2.5">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2.5">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2.5">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2.5">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2.5">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2.5">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2.5">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2.5">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2.5">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2.5">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2.5">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2.5">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2.5">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2.5">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2.5">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2.5">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2.5">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2.5">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2.5">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2.5">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2.5">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2.5">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2.5">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2.5">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2.5">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2.5">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2.5">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2.5">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2.5">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2.5">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2.5">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2.5">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2.5">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2.5">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2.5">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2.5">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2.5">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2.5">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2.5">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2.5">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2.5">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2.5">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2.5">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2.5">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2.5">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2.5">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2.5">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2.5">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2.5">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2.5">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2.5">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2.5">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2.5">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2.5">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2.5">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2.5">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2.5">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2.5">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2.5">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2.5">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2.5">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2.5">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2.5">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2.5">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2.5">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2.5">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2.5">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2.5">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2.5">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2.5">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2.5">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2.5">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2.5">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2.5">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2.5">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2.5">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2.5">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2.5">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2.5">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2.5">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2.5">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2.5">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2.5">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2.5">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2.5">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2.5">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2.5">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2.5">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2.5">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2.5">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2.5">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2.5">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2.5">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2.5">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2.5">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2.5">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2.5">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2.5">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2.5">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2.5">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2.5">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2.5">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2.5">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2.5">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2.5">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2.5">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2.5">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2.5">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2.5">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2.5">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2.5">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2.5">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2.5">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2.5">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2.5">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2.5">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2.5">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2.5">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2.5">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2.5">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2.5">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2.5">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2.5">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2.5">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2.5">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2.5">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2.5">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2.5">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2.5">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2.5">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2.5">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2.5">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2.5">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2.5">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2.5">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2.5">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2.5">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2.5">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2.5">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2.5">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2.5">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2.5">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2.5">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2.5">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2.5">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2.5">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2.5">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2.5">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2.5">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2.5">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2.5">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2.5">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2.5">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2.5">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2.5">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2.5">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2.5">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2.5">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2.5">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2.5">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2.5">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2.5">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2.5">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2.5">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2.5">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2.5">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2.5">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2.5">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2.5">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2.5">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2.5">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2.5">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2.5">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2.5">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2.5">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2.5">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2.5">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2.5">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2.5">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2.5">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2.5">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2.5">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2.5">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2.5">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2.5">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2.5">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2.5">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2.5">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2.5">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2.5">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2.5">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2.5">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2.5">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2.5">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2.5">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2.5">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2.5">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2.5">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2.5">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2.5">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2.5">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2.5">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2.5">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2.5">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2.5">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2.5">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2.5">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2.5">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2.5">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2.5">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2.5">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2.5">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2.5">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2.5">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2.5">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2.5">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2.5">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2.5">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2.5">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2.5">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2.5">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2.5">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2.5">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2.5">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2.5">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2.5">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2.5">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2.5">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2.5">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2.5">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2.5">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2.5">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2.5">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2.5">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2.5">
      <c r="A998" s="1"/>
      <c r="B998" s="1"/>
      <c r="C998" s="2"/>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spans="1:34" ht="12.5">
      <c r="A999" s="1"/>
      <c r="B999" s="1"/>
      <c r="C999" s="2"/>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sheetData>
  <mergeCells count="6">
    <mergeCell ref="T2:Y2"/>
    <mergeCell ref="D2:F2"/>
    <mergeCell ref="G2:I2"/>
    <mergeCell ref="J2:L2"/>
    <mergeCell ref="M2:O2"/>
    <mergeCell ref="P2:R2"/>
  </mergeCells>
  <hyperlinks>
    <hyperlink ref="F4" r:id="rId1" xr:uid="{00000000-0004-0000-0000-000000000000}"/>
    <hyperlink ref="I4" r:id="rId2" xr:uid="{00000000-0004-0000-0000-000001000000}"/>
    <hyperlink ref="O6" r:id="rId3" xr:uid="{00000000-0004-0000-0000-000002000000}"/>
    <hyperlink ref="F8" r:id="rId4" xr:uid="{00000000-0004-0000-0000-000003000000}"/>
    <hyperlink ref="I8"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H994"/>
  <sheetViews>
    <sheetView workbookViewId="0"/>
  </sheetViews>
  <sheetFormatPr defaultColWidth="12.6328125" defaultRowHeight="15.75" customHeight="1"/>
  <cols>
    <col min="1" max="2" width="4.7265625" customWidth="1"/>
    <col min="3" max="3" width="56.6328125" customWidth="1"/>
    <col min="4" max="4" width="20.7265625" customWidth="1"/>
    <col min="5" max="5" width="9.6328125" customWidth="1"/>
    <col min="6" max="6" width="16.08984375" customWidth="1"/>
    <col min="19" max="19" width="6.08984375" customWidth="1"/>
    <col min="20" max="20" width="10.26953125" customWidth="1"/>
    <col min="21" max="22" width="10.90625" customWidth="1"/>
    <col min="23" max="24" width="10.36328125" customWidth="1"/>
    <col min="25" max="25" width="8.453125" customWidth="1"/>
    <col min="26" max="26" width="7" customWidth="1"/>
    <col min="27" max="27" width="20.453125" customWidth="1"/>
  </cols>
  <sheetData>
    <row r="1" spans="1:34" ht="15.75" customHeight="1">
      <c r="A1" s="1"/>
      <c r="B1" s="1"/>
      <c r="C1" s="2"/>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c r="A2" s="1"/>
      <c r="B2" s="41"/>
      <c r="C2" s="42"/>
      <c r="D2" s="66" t="s">
        <v>0</v>
      </c>
      <c r="E2" s="63"/>
      <c r="F2" s="64"/>
      <c r="G2" s="66" t="s">
        <v>1</v>
      </c>
      <c r="H2" s="63"/>
      <c r="I2" s="64"/>
      <c r="J2" s="66" t="s">
        <v>2</v>
      </c>
      <c r="K2" s="63"/>
      <c r="L2" s="64"/>
      <c r="M2" s="66" t="s">
        <v>3</v>
      </c>
      <c r="N2" s="63"/>
      <c r="O2" s="64"/>
      <c r="P2" s="66" t="s">
        <v>4</v>
      </c>
      <c r="Q2" s="63"/>
      <c r="R2" s="64"/>
      <c r="S2" s="41" t="s">
        <v>5</v>
      </c>
      <c r="T2" s="67" t="s">
        <v>6</v>
      </c>
      <c r="U2" s="63"/>
      <c r="V2" s="63"/>
      <c r="W2" s="63"/>
      <c r="X2" s="63"/>
      <c r="Y2" s="64"/>
      <c r="Z2" s="41" t="s">
        <v>7</v>
      </c>
      <c r="AA2" s="41" t="s">
        <v>8</v>
      </c>
      <c r="AB2" s="41"/>
      <c r="AC2" s="1"/>
      <c r="AD2" s="1"/>
      <c r="AE2" s="1"/>
      <c r="AF2" s="1"/>
      <c r="AG2" s="1"/>
      <c r="AH2" s="1"/>
    </row>
    <row r="3" spans="1:34">
      <c r="A3" s="1"/>
      <c r="B3" s="41" t="s">
        <v>9</v>
      </c>
      <c r="C3" s="43" t="s">
        <v>10</v>
      </c>
      <c r="D3" s="44" t="s">
        <v>11</v>
      </c>
      <c r="E3" s="44" t="s">
        <v>12</v>
      </c>
      <c r="F3" s="44" t="s">
        <v>13</v>
      </c>
      <c r="G3" s="44" t="s">
        <v>11</v>
      </c>
      <c r="H3" s="44" t="s">
        <v>12</v>
      </c>
      <c r="I3" s="44" t="s">
        <v>13</v>
      </c>
      <c r="J3" s="44" t="s">
        <v>11</v>
      </c>
      <c r="K3" s="44" t="s">
        <v>12</v>
      </c>
      <c r="L3" s="44" t="s">
        <v>14</v>
      </c>
      <c r="M3" s="44" t="s">
        <v>11</v>
      </c>
      <c r="N3" s="44" t="s">
        <v>12</v>
      </c>
      <c r="O3" s="44" t="s">
        <v>14</v>
      </c>
      <c r="P3" s="44" t="s">
        <v>11</v>
      </c>
      <c r="Q3" s="44" t="s">
        <v>12</v>
      </c>
      <c r="R3" s="44" t="s">
        <v>14</v>
      </c>
      <c r="S3" s="41"/>
      <c r="T3" s="41" t="s">
        <v>15</v>
      </c>
      <c r="U3" s="41" t="s">
        <v>16</v>
      </c>
      <c r="V3" s="41" t="s">
        <v>17</v>
      </c>
      <c r="W3" s="41" t="s">
        <v>18</v>
      </c>
      <c r="X3" s="41" t="s">
        <v>19</v>
      </c>
      <c r="Y3" s="41" t="s">
        <v>5</v>
      </c>
      <c r="Z3" s="41"/>
      <c r="AA3" s="41"/>
      <c r="AB3" s="41"/>
      <c r="AC3" s="1"/>
      <c r="AD3" s="1"/>
      <c r="AE3" s="1"/>
      <c r="AF3" s="1"/>
      <c r="AG3" s="1"/>
      <c r="AH3" s="1"/>
    </row>
    <row r="4" spans="1:34" ht="15.75" customHeight="1">
      <c r="A4" s="1"/>
      <c r="B4" s="45">
        <v>1</v>
      </c>
      <c r="C4" s="46" t="s">
        <v>76</v>
      </c>
      <c r="D4" s="47" t="s">
        <v>77</v>
      </c>
      <c r="E4" s="48">
        <v>15000</v>
      </c>
      <c r="F4" s="49" t="s">
        <v>78</v>
      </c>
      <c r="G4" s="50" t="s">
        <v>28</v>
      </c>
      <c r="H4" s="51">
        <v>0</v>
      </c>
      <c r="I4" s="52" t="s">
        <v>25</v>
      </c>
      <c r="J4" s="53" t="s">
        <v>79</v>
      </c>
      <c r="K4" s="48">
        <v>0</v>
      </c>
      <c r="L4" s="48" t="s">
        <v>80</v>
      </c>
      <c r="M4" s="48" t="s">
        <v>49</v>
      </c>
      <c r="N4" s="48"/>
      <c r="O4" s="48"/>
      <c r="P4" s="48" t="s">
        <v>49</v>
      </c>
      <c r="Q4" s="48"/>
      <c r="R4" s="48"/>
      <c r="S4" s="54">
        <f t="shared" ref="S4:S6" si="0">E4+H4+K4+N4+Q4</f>
        <v>15000</v>
      </c>
      <c r="T4" s="55">
        <v>10000</v>
      </c>
      <c r="U4" s="29"/>
      <c r="V4" s="29"/>
      <c r="W4" s="29"/>
      <c r="X4" s="29"/>
      <c r="Y4" s="54">
        <f t="shared" ref="Y4:Y6" si="1">T4+U4+V4+W4+X4</f>
        <v>10000</v>
      </c>
      <c r="Z4" s="56">
        <f t="shared" ref="Z4:Z5" si="2">S4-Y4</f>
        <v>5000</v>
      </c>
      <c r="AA4" s="29" t="s">
        <v>42</v>
      </c>
      <c r="AB4" s="1"/>
      <c r="AC4" s="1"/>
      <c r="AD4" s="1"/>
      <c r="AE4" s="1"/>
      <c r="AF4" s="1"/>
      <c r="AG4" s="1"/>
      <c r="AH4" s="1"/>
    </row>
    <row r="5" spans="1:34" ht="15.75" customHeight="1">
      <c r="A5" s="1"/>
      <c r="B5" s="45">
        <v>2</v>
      </c>
      <c r="C5" s="57" t="s">
        <v>81</v>
      </c>
      <c r="D5" s="41" t="s">
        <v>82</v>
      </c>
      <c r="E5" s="48">
        <v>15000</v>
      </c>
      <c r="F5" s="48" t="s">
        <v>83</v>
      </c>
      <c r="G5" s="53" t="s">
        <v>84</v>
      </c>
      <c r="H5" s="48">
        <v>0</v>
      </c>
      <c r="I5" s="48" t="s">
        <v>85</v>
      </c>
      <c r="J5" s="48" t="s">
        <v>49</v>
      </c>
      <c r="K5" s="48">
        <v>0</v>
      </c>
      <c r="L5" s="48"/>
      <c r="M5" s="48" t="s">
        <v>49</v>
      </c>
      <c r="N5" s="48"/>
      <c r="O5" s="48"/>
      <c r="P5" s="48" t="s">
        <v>49</v>
      </c>
      <c r="Q5" s="48"/>
      <c r="R5" s="48"/>
      <c r="S5" s="29">
        <f t="shared" si="0"/>
        <v>15000</v>
      </c>
      <c r="T5" s="55">
        <v>10000</v>
      </c>
      <c r="U5" s="29"/>
      <c r="V5" s="29"/>
      <c r="W5" s="29"/>
      <c r="X5" s="29"/>
      <c r="Y5" s="54">
        <f t="shared" si="1"/>
        <v>10000</v>
      </c>
      <c r="Z5" s="56">
        <f t="shared" si="2"/>
        <v>5000</v>
      </c>
      <c r="AA5" s="29" t="s">
        <v>42</v>
      </c>
      <c r="AB5" s="1"/>
      <c r="AC5" s="1"/>
      <c r="AD5" s="1"/>
      <c r="AE5" s="1"/>
      <c r="AF5" s="1"/>
      <c r="AG5" s="1"/>
      <c r="AH5" s="1"/>
    </row>
    <row r="6" spans="1:34" ht="15.75" customHeight="1">
      <c r="A6" s="1"/>
      <c r="B6" s="45">
        <v>3</v>
      </c>
      <c r="C6" s="58" t="s">
        <v>86</v>
      </c>
      <c r="D6" s="47" t="s">
        <v>77</v>
      </c>
      <c r="E6" s="48">
        <v>15000</v>
      </c>
      <c r="F6" s="49" t="s">
        <v>87</v>
      </c>
      <c r="G6" s="50" t="s">
        <v>28</v>
      </c>
      <c r="H6" s="51">
        <v>0</v>
      </c>
      <c r="I6" s="52" t="s">
        <v>25</v>
      </c>
      <c r="J6" s="53" t="s">
        <v>79</v>
      </c>
      <c r="K6" s="48">
        <v>0</v>
      </c>
      <c r="L6" s="48" t="s">
        <v>80</v>
      </c>
      <c r="M6" s="48" t="s">
        <v>49</v>
      </c>
      <c r="N6" s="48"/>
      <c r="O6" s="48"/>
      <c r="P6" s="48" t="s">
        <v>49</v>
      </c>
      <c r="Q6" s="48"/>
      <c r="R6" s="48"/>
      <c r="S6" s="54">
        <f t="shared" si="0"/>
        <v>15000</v>
      </c>
      <c r="T6" s="29">
        <v>10000</v>
      </c>
      <c r="U6" s="29"/>
      <c r="V6" s="29"/>
      <c r="W6" s="29"/>
      <c r="X6" s="29"/>
      <c r="Y6" s="29">
        <f t="shared" si="1"/>
        <v>10000</v>
      </c>
      <c r="Z6" s="29">
        <v>5000</v>
      </c>
      <c r="AA6" s="29" t="s">
        <v>42</v>
      </c>
      <c r="AB6" s="1"/>
      <c r="AC6" s="1"/>
      <c r="AD6" s="1"/>
      <c r="AE6" s="1"/>
      <c r="AF6" s="1"/>
      <c r="AG6" s="1"/>
      <c r="AH6" s="1"/>
    </row>
    <row r="7" spans="1:34" ht="15.75" customHeight="1">
      <c r="A7" s="1"/>
      <c r="B7" s="1">
        <v>4</v>
      </c>
      <c r="C7" s="2" t="s">
        <v>88</v>
      </c>
      <c r="D7" s="1" t="s">
        <v>89</v>
      </c>
      <c r="E7" s="1">
        <v>15000</v>
      </c>
      <c r="F7" s="1" t="s">
        <v>90</v>
      </c>
      <c r="G7" s="1"/>
      <c r="H7" s="1"/>
      <c r="I7" s="1"/>
      <c r="J7" s="1"/>
      <c r="K7" s="1"/>
      <c r="L7" s="1"/>
      <c r="M7" s="1"/>
      <c r="N7" s="1"/>
      <c r="O7" s="1"/>
      <c r="P7" s="1"/>
      <c r="Q7" s="1"/>
      <c r="R7" s="1"/>
      <c r="S7" s="1"/>
      <c r="T7" s="1">
        <v>10000</v>
      </c>
      <c r="U7" s="1"/>
      <c r="V7" s="1"/>
      <c r="W7" s="1"/>
      <c r="X7" s="1"/>
      <c r="Y7" s="1"/>
      <c r="Z7" s="1">
        <v>5000</v>
      </c>
      <c r="AA7" s="29" t="s">
        <v>42</v>
      </c>
      <c r="AB7" s="1"/>
      <c r="AC7" s="1"/>
      <c r="AD7" s="1"/>
      <c r="AE7" s="1"/>
      <c r="AF7" s="1"/>
      <c r="AG7" s="1"/>
      <c r="AH7" s="1"/>
    </row>
    <row r="8" spans="1:34" ht="15.75" customHeight="1">
      <c r="A8" s="1"/>
      <c r="B8" s="1"/>
      <c r="C8" s="2"/>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spans="1:34" ht="15.75" customHeight="1">
      <c r="A9" s="1"/>
      <c r="B9" s="1"/>
      <c r="C9" s="2"/>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customHeight="1">
      <c r="A10" s="1"/>
      <c r="B10" s="1"/>
      <c r="C10" s="2"/>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34" ht="15.75" customHeight="1">
      <c r="A11" s="1"/>
      <c r="B11" s="1"/>
      <c r="C11" s="2"/>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1:34" ht="15.75" customHeight="1">
      <c r="A12" s="1"/>
      <c r="B12" s="1"/>
      <c r="C12" s="2"/>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spans="1:34" ht="15.75" customHeight="1">
      <c r="A13" s="1"/>
      <c r="B13" s="1"/>
      <c r="C13" s="2"/>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spans="1:34" ht="15.75" customHeight="1">
      <c r="A14" s="1"/>
      <c r="B14" s="1"/>
      <c r="C14" s="2"/>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spans="1:34" ht="15.75" customHeight="1">
      <c r="A15" s="1"/>
      <c r="B15" s="1"/>
      <c r="C15" s="2"/>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spans="1:34" ht="15.75" customHeight="1">
      <c r="A16" s="1"/>
      <c r="B16" s="1"/>
      <c r="C16" s="2"/>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spans="1:34" ht="15.75" customHeight="1">
      <c r="A17" s="1"/>
      <c r="B17" s="1"/>
      <c r="C17" s="2"/>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spans="1:34" ht="15.75" customHeight="1">
      <c r="A18" s="1"/>
      <c r="B18" s="1"/>
      <c r="C18" s="2"/>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spans="1:34" ht="15.75" customHeight="1">
      <c r="A19" s="1"/>
      <c r="B19" s="1"/>
      <c r="C19" s="2"/>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spans="1:34" ht="12.5">
      <c r="A20" s="1"/>
      <c r="B20" s="1"/>
      <c r="C20" s="2"/>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spans="1:34" ht="12.5">
      <c r="A21" s="1"/>
      <c r="B21" s="1"/>
      <c r="C21" s="2"/>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spans="1:34" ht="12.5">
      <c r="A22" s="1"/>
      <c r="B22" s="1"/>
      <c r="C22" s="2"/>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spans="1:34" ht="12.5">
      <c r="A23" s="1"/>
      <c r="B23" s="1"/>
      <c r="C23" s="2"/>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spans="1:34" ht="12.5">
      <c r="A24" s="1"/>
      <c r="B24" s="1"/>
      <c r="C24" s="2"/>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spans="1:34" ht="12.5">
      <c r="A25" s="1"/>
      <c r="B25" s="1"/>
      <c r="C25" s="2"/>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spans="1:34" ht="12.5">
      <c r="A26" s="1"/>
      <c r="B26" s="1"/>
      <c r="C26" s="2"/>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spans="1:34" ht="12.5">
      <c r="A27" s="1"/>
      <c r="B27" s="1"/>
      <c r="C27" s="2"/>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spans="1:34" ht="12.5">
      <c r="A28" s="1"/>
      <c r="B28" s="1"/>
      <c r="C28" s="2"/>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spans="1:34" ht="12.5">
      <c r="A29" s="1"/>
      <c r="B29" s="1"/>
      <c r="C29" s="2"/>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spans="1:34" ht="12.5">
      <c r="A30" s="1"/>
      <c r="B30" s="1"/>
      <c r="C30" s="2"/>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spans="1:34" ht="12.5">
      <c r="A31" s="1"/>
      <c r="B31" s="1"/>
      <c r="C31" s="2"/>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spans="1:34" ht="12.5">
      <c r="A32" s="1"/>
      <c r="B32" s="1"/>
      <c r="C32" s="2"/>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spans="1:34" ht="12.5">
      <c r="A33" s="1"/>
      <c r="B33" s="1"/>
      <c r="C33" s="2"/>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spans="1:34" ht="12.5">
      <c r="A34" s="1"/>
      <c r="B34" s="1"/>
      <c r="C34" s="2"/>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spans="1:34" ht="12.5">
      <c r="A35" s="1"/>
      <c r="B35" s="1"/>
      <c r="C35" s="2"/>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1:34" ht="12.5">
      <c r="A36" s="1"/>
      <c r="B36" s="1"/>
      <c r="C36" s="2"/>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1:34" ht="12.5">
      <c r="A37" s="1"/>
      <c r="B37" s="1"/>
      <c r="C37" s="2"/>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1:34" ht="12.5">
      <c r="A38" s="1"/>
      <c r="B38" s="1"/>
      <c r="C38" s="2"/>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ht="12.5">
      <c r="A39" s="1"/>
      <c r="B39" s="1"/>
      <c r="C39" s="2"/>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1:34" ht="12.5">
      <c r="A40" s="1"/>
      <c r="B40" s="1"/>
      <c r="C40" s="2"/>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2.5">
      <c r="A41" s="1"/>
      <c r="B41" s="1"/>
      <c r="C41" s="2"/>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2.5">
      <c r="A42" s="1"/>
      <c r="B42" s="1"/>
      <c r="C42" s="2"/>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2.5">
      <c r="A43" s="1"/>
      <c r="B43" s="1"/>
      <c r="C43" s="2"/>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2.5">
      <c r="A44" s="1"/>
      <c r="B44" s="1"/>
      <c r="C44" s="2"/>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2.5">
      <c r="A45" s="1"/>
      <c r="B45" s="1"/>
      <c r="C45" s="2"/>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2.5">
      <c r="A46" s="1"/>
      <c r="B46" s="1"/>
      <c r="C46" s="2"/>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2.5">
      <c r="A47" s="1"/>
      <c r="B47" s="1"/>
      <c r="C47" s="2"/>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2.5">
      <c r="A48" s="1"/>
      <c r="B48" s="1"/>
      <c r="C48" s="2"/>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2.5">
      <c r="A49" s="1"/>
      <c r="B49" s="1"/>
      <c r="C49" s="2"/>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2.5">
      <c r="A50" s="1"/>
      <c r="B50" s="1"/>
      <c r="C50" s="2"/>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2.5">
      <c r="A51" s="1"/>
      <c r="B51" s="1"/>
      <c r="C51" s="2"/>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2.5">
      <c r="A52" s="1"/>
      <c r="B52" s="1"/>
      <c r="C52" s="2"/>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2.5">
      <c r="A53" s="1"/>
      <c r="B53" s="1"/>
      <c r="C53" s="2"/>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2.5">
      <c r="A54" s="1"/>
      <c r="B54" s="1"/>
      <c r="C54" s="2"/>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2.5">
      <c r="A55" s="1"/>
      <c r="B55" s="1"/>
      <c r="C55" s="2"/>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2.5">
      <c r="A56" s="1"/>
      <c r="B56" s="1"/>
      <c r="C56" s="2"/>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2.5">
      <c r="A57" s="1"/>
      <c r="B57" s="1"/>
      <c r="C57" s="2"/>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2.5">
      <c r="A58" s="1"/>
      <c r="B58" s="1"/>
      <c r="C58" s="2"/>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2.5">
      <c r="A59" s="1"/>
      <c r="B59" s="1"/>
      <c r="C59" s="2"/>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2.5">
      <c r="A60" s="1"/>
      <c r="B60" s="1"/>
      <c r="C60" s="2"/>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2.5">
      <c r="A61" s="1"/>
      <c r="B61" s="1"/>
      <c r="C61" s="2"/>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2.5">
      <c r="A62" s="1"/>
      <c r="B62" s="1"/>
      <c r="C62" s="2"/>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2.5">
      <c r="A63" s="1"/>
      <c r="B63" s="1"/>
      <c r="C63" s="2"/>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2.5">
      <c r="A64" s="1"/>
      <c r="B64" s="1"/>
      <c r="C64" s="2"/>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2.5">
      <c r="A65" s="1"/>
      <c r="B65" s="1"/>
      <c r="C65" s="2"/>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2.5">
      <c r="A66" s="1"/>
      <c r="B66" s="1"/>
      <c r="C66" s="2"/>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2.5">
      <c r="A67" s="1"/>
      <c r="B67" s="1"/>
      <c r="C67" s="2"/>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2.5">
      <c r="A68" s="1"/>
      <c r="B68" s="1"/>
      <c r="C68" s="2"/>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2.5">
      <c r="A69" s="1"/>
      <c r="B69" s="1"/>
      <c r="C69" s="2"/>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2.5">
      <c r="A70" s="1"/>
      <c r="B70" s="1"/>
      <c r="C70" s="2"/>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2.5">
      <c r="A71" s="1"/>
      <c r="B71" s="1"/>
      <c r="C71" s="2"/>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2.5">
      <c r="A72" s="1"/>
      <c r="B72" s="1"/>
      <c r="C72" s="2"/>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2.5">
      <c r="A73" s="1"/>
      <c r="B73" s="1"/>
      <c r="C73" s="2"/>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2.5">
      <c r="A74" s="1"/>
      <c r="B74" s="1"/>
      <c r="C74" s="2"/>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2.5">
      <c r="A75" s="1"/>
      <c r="B75" s="1"/>
      <c r="C75" s="2"/>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2.5">
      <c r="A76" s="1"/>
      <c r="B76" s="1"/>
      <c r="C76" s="2"/>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2.5">
      <c r="A77" s="1"/>
      <c r="B77" s="1"/>
      <c r="C77" s="2"/>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2.5">
      <c r="A78" s="1"/>
      <c r="B78" s="1"/>
      <c r="C78" s="2"/>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2.5">
      <c r="A79" s="1"/>
      <c r="B79" s="1"/>
      <c r="C79" s="2"/>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2.5">
      <c r="A80" s="1"/>
      <c r="B80" s="1"/>
      <c r="C80" s="2"/>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2.5">
      <c r="A81" s="1"/>
      <c r="B81" s="1"/>
      <c r="C81" s="2"/>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2.5">
      <c r="A82" s="1"/>
      <c r="B82" s="1"/>
      <c r="C82" s="2"/>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2.5">
      <c r="A83" s="1"/>
      <c r="B83" s="1"/>
      <c r="C83" s="2"/>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2.5">
      <c r="A84" s="1"/>
      <c r="B84" s="1"/>
      <c r="C84" s="2"/>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2.5">
      <c r="A85" s="1"/>
      <c r="B85" s="1"/>
      <c r="C85" s="2"/>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2.5">
      <c r="A86" s="1"/>
      <c r="B86" s="1"/>
      <c r="C86" s="2"/>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2.5">
      <c r="A87" s="1"/>
      <c r="B87" s="1"/>
      <c r="C87" s="2"/>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2.5">
      <c r="A88" s="1"/>
      <c r="B88" s="1"/>
      <c r="C88" s="2"/>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2.5">
      <c r="A89" s="1"/>
      <c r="B89" s="1"/>
      <c r="C89" s="2"/>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2.5">
      <c r="A90" s="1"/>
      <c r="B90" s="1"/>
      <c r="C90" s="2"/>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2.5">
      <c r="A91" s="1"/>
      <c r="B91" s="1"/>
      <c r="C91" s="2"/>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2.5">
      <c r="A92" s="1"/>
      <c r="B92" s="1"/>
      <c r="C92" s="2"/>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2.5">
      <c r="A93" s="1"/>
      <c r="B93" s="1"/>
      <c r="C93" s="2"/>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2.5">
      <c r="A94" s="1"/>
      <c r="B94" s="1"/>
      <c r="C94" s="2"/>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2.5">
      <c r="A95" s="1"/>
      <c r="B95" s="1"/>
      <c r="C95" s="2"/>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2.5">
      <c r="A96" s="1"/>
      <c r="B96" s="1"/>
      <c r="C96" s="2"/>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2.5">
      <c r="A97" s="1"/>
      <c r="B97" s="1"/>
      <c r="C97" s="2"/>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2.5">
      <c r="A98" s="1"/>
      <c r="B98" s="1"/>
      <c r="C98" s="2"/>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2.5">
      <c r="A99" s="1"/>
      <c r="B99" s="1"/>
      <c r="C99" s="2"/>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2.5">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2.5">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2.5">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2.5">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2.5">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2.5">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2.5">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2.5">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2.5">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2.5">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2.5">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2.5">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2.5">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2.5">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2.5">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2.5">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2.5">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2.5">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2.5">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2.5">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2.5">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2.5">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2.5">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2.5">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2.5">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2.5">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2.5">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2.5">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2.5">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2.5">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2.5">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2.5">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2.5">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2.5">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2.5">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2.5">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2.5">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2.5">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2.5">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2.5">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2.5">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2.5">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2.5">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2.5">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2.5">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2.5">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2.5">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2.5">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2.5">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2.5">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2.5">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2.5">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2.5">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2.5">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2.5">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2.5">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2.5">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2.5">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2.5">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2.5">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2.5">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2.5">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2.5">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2.5">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2.5">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2.5">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2.5">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2.5">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2.5">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2.5">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2.5">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2.5">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2.5">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2.5">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2.5">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2.5">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2.5">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2.5">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2.5">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2.5">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2.5">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2.5">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2.5">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2.5">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2.5">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2.5">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2.5">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2.5">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2.5">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2.5">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2.5">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2.5">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2.5">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2.5">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2.5">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2.5">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2.5">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2.5">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2.5">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2.5">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2.5">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2.5">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ht="12.5">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ht="12.5">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ht="12.5">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ht="12.5">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ht="12.5">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ht="12.5">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ht="12.5">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ht="12.5">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ht="12.5">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ht="12.5">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ht="12.5">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ht="12.5">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ht="12.5">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ht="12.5">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ht="12.5">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ht="12.5">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ht="12.5">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ht="12.5">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ht="12.5">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2.5">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ht="12.5">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ht="12.5">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2.5">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2.5">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2.5">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2.5">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2.5">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2.5">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2.5">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2.5">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2.5">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2.5">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2.5">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2.5">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2.5">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2.5">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2.5">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2.5">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2.5">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2.5">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2.5">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2.5">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2.5">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2.5">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2.5">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2.5">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2.5">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2.5">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2.5">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2.5">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2.5">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2.5">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2.5">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2.5">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2.5">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2.5">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2.5">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2.5">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2.5">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2.5">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2.5">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2.5">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2.5">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2.5">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2.5">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2.5">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2.5">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2.5">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2.5">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2.5">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2.5">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2.5">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2.5">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2.5">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2.5">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2.5">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2.5">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2.5">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2.5">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2.5">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2.5">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2.5">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2.5">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2.5">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2.5">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2.5">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2.5">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2.5">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2.5">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2.5">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2.5">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2.5">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2.5">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2.5">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2.5">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2.5">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2.5">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2.5">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2.5">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2.5">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2.5">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2.5">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2.5">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2.5">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2.5">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2.5">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2.5">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2.5">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2.5">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2.5">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2.5">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2.5">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2.5">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2.5">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2.5">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2.5">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2.5">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2.5">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2.5">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2.5">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2.5">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2.5">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2.5">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2.5">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2.5">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2.5">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2.5">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2.5">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2.5">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2.5">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2.5">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2.5">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2.5">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2.5">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2.5">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2.5">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2.5">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2.5">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2.5">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2.5">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2.5">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2.5">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2.5">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2.5">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2.5">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2.5">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2.5">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2.5">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2.5">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2.5">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2.5">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2.5">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2.5">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2.5">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2.5">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2.5">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2.5">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2.5">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2.5">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2.5">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2.5">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2.5">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2.5">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2.5">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2.5">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2.5">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2.5">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2.5">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2.5">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2.5">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2.5">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2.5">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2.5">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2.5">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2.5">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2.5">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2.5">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2.5">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2.5">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2.5">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2.5">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2.5">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2.5">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2.5">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2.5">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2.5">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2.5">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2.5">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2.5">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2.5">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2.5">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2.5">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2.5">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2.5">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2.5">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2.5">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2.5">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2.5">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2.5">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2.5">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2.5">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2.5">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2.5">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2.5">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2.5">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2.5">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2.5">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2.5">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2.5">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2.5">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2.5">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2.5">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2.5">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2.5">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2.5">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2.5">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2.5">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2.5">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2.5">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2.5">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2.5">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2.5">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2.5">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2.5">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2.5">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2.5">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2.5">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2.5">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2.5">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2.5">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2.5">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2.5">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2.5">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2.5">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2.5">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2.5">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2.5">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2.5">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2.5">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2.5">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2.5">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2.5">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2.5">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2.5">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2.5">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2.5">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2.5">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2.5">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2.5">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2.5">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2.5">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2.5">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2.5">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2.5">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2.5">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2.5">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2.5">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2.5">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2.5">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2.5">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2.5">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2.5">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2.5">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2.5">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2.5">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2.5">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2.5">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2.5">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2.5">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2.5">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2.5">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2.5">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2.5">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2.5">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2.5">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2.5">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2.5">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2.5">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2.5">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2.5">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2.5">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2.5">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2.5">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2.5">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2.5">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2.5">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2.5">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2.5">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2.5">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2.5">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2.5">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2.5">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2.5">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2.5">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2.5">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2.5">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2.5">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2.5">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2.5">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2.5">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2.5">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2.5">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2.5">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2.5">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2.5">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2.5">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2.5">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2.5">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2.5">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2.5">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2.5">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2.5">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2.5">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2.5">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2.5">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2.5">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2.5">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2.5">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2.5">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2.5">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2.5">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2.5">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2.5">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2.5">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2.5">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2.5">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2.5">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2.5">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2.5">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2.5">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2.5">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2.5">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2.5">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2.5">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2.5">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2.5">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2.5">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2.5">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2.5">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2.5">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2.5">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2.5">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2.5">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2.5">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2.5">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2.5">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2.5">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2.5">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2.5">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2.5">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2.5">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2.5">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2.5">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2.5">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2.5">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2.5">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2.5">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2.5">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2.5">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2.5">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2.5">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2.5">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2.5">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2.5">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2.5">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2.5">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2.5">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2.5">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2.5">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2.5">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2.5">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2.5">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2.5">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2.5">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2.5">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2.5">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2.5">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2.5">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2.5">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2.5">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2.5">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2.5">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2.5">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2.5">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2.5">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2.5">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2.5">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2.5">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2.5">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2.5">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2.5">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2.5">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2.5">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2.5">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2.5">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2.5">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2.5">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2.5">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2.5">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2.5">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2.5">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2.5">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2.5">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2.5">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2.5">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2.5">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2.5">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2.5">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2.5">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2.5">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2.5">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2.5">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2.5">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2.5">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2.5">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2.5">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2.5">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2.5">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2.5">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2.5">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2.5">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2.5">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2.5">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2.5">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2.5">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2.5">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2.5">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2.5">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2.5">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2.5">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2.5">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2.5">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2.5">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2.5">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2.5">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2.5">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2.5">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2.5">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2.5">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2.5">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2.5">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2.5">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2.5">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2.5">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2.5">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2.5">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2.5">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2.5">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2.5">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2.5">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2.5">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2.5">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2.5">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2.5">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2.5">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2.5">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2.5">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2.5">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2.5">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2.5">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2.5">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2.5">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2.5">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2.5">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2.5">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2.5">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2.5">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2.5">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2.5">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2.5">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2.5">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2.5">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2.5">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2.5">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2.5">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2.5">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2.5">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2.5">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2.5">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2.5">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2.5">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2.5">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2.5">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2.5">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2.5">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2.5">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2.5">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2.5">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2.5">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2.5">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2.5">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2.5">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2.5">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2.5">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2.5">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2.5">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2.5">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2.5">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2.5">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2.5">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2.5">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2.5">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2.5">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2.5">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2.5">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2.5">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2.5">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2.5">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2.5">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2.5">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2.5">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2.5">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2.5">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2.5">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2.5">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2.5">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2.5">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2.5">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2.5">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2.5">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2.5">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2.5">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2.5">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2.5">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2.5">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2.5">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2.5">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2.5">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2.5">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2.5">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2.5">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2.5">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2.5">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2.5">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2.5">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2.5">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2.5">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2.5">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2.5">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2.5">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2.5">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2.5">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2.5">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2.5">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2.5">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2.5">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2.5">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2.5">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2.5">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2.5">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2.5">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2.5">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2.5">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2.5">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2.5">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2.5">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2.5">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2.5">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2.5">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2.5">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2.5">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2.5">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2.5">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2.5">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2.5">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2.5">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2.5">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2.5">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2.5">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2.5">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2.5">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2.5">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2.5">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2.5">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2.5">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2.5">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2.5">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2.5">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2.5">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2.5">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2.5">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2.5">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2.5">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2.5">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2.5">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2.5">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2.5">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2.5">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2.5">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2.5">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2.5">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2.5">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2.5">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2.5">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2.5">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2.5">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2.5">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2.5">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2.5">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2.5">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2.5">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2.5">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2.5">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2.5">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2.5">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2.5">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2.5">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2.5">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2.5">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2.5">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2.5">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2.5">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2.5">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2.5">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2.5">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2.5">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2.5">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2.5">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2.5">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2.5">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2.5">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2.5">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2.5">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2.5">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2.5">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2.5">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2.5">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2.5">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2.5">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2.5">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2.5">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2.5">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2.5">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2.5">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2.5">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2.5">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2.5">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2.5">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2.5">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2.5">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2.5">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2.5">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2.5">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2.5">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2.5">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2.5">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2.5">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2.5">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2.5">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2.5">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2.5">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2.5">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2.5">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2.5">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2.5">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2.5">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2.5">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2.5">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2.5">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2.5">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2.5">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2.5">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2.5">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2.5">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2.5">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2.5">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2.5">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2.5">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2.5">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2.5">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2.5">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2.5">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2.5">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2.5">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2.5">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2.5">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2.5">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2.5">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2.5">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2.5">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2.5">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2.5">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2.5">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2.5">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2.5">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2.5">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2.5">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2.5">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2.5">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2.5">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2.5">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2.5">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2.5">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2.5">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2.5">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2.5">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2.5">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2.5">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2.5">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2.5">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2.5">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2.5">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2.5">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2.5">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2.5">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2.5">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2.5">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2.5">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2.5">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2.5">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2.5">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2.5">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2.5">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2.5">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2.5">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2.5">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2.5">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2.5">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2.5">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2.5">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2.5">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2.5">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2.5">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2.5">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2.5">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2.5">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2.5">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2.5">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2.5">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2.5">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2.5">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2.5">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2.5">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2.5">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2.5">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2.5">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2.5">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2.5">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2.5">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2.5">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2.5">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2.5">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2.5">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2.5">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2.5">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2.5">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2.5">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2.5">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2.5">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2.5">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2.5">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2.5">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2.5">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2.5">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2.5">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2.5">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2.5">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2.5">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2.5">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2.5">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2.5">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2.5">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2.5">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2.5">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2.5">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2.5">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2.5">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2.5">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2.5">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2.5">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2.5">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2.5">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2.5">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2.5">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2.5">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2.5">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2.5">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2.5">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2.5">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2.5">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2.5">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2.5">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2.5">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2.5">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2.5">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2.5">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2.5">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2.5">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2.5">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2.5">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2.5">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2.5">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2.5">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sheetData>
  <mergeCells count="6">
    <mergeCell ref="T2:Y2"/>
    <mergeCell ref="D2:F2"/>
    <mergeCell ref="G2:I2"/>
    <mergeCell ref="J2:L2"/>
    <mergeCell ref="M2:O2"/>
    <mergeCell ref="P2:R2"/>
  </mergeCells>
  <hyperlinks>
    <hyperlink ref="F4" r:id="rId1" xr:uid="{00000000-0004-0000-0100-000000000000}"/>
    <hyperlink ref="F6"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3:B5"/>
  <sheetViews>
    <sheetView workbookViewId="0"/>
  </sheetViews>
  <sheetFormatPr defaultColWidth="12.6328125" defaultRowHeight="15.75" customHeight="1"/>
  <cols>
    <col min="2" max="2" width="42.36328125" customWidth="1"/>
  </cols>
  <sheetData>
    <row r="3" spans="2:2" ht="15.75" customHeight="1">
      <c r="B3" s="59" t="s">
        <v>91</v>
      </c>
    </row>
    <row r="5" spans="2:2" ht="15.75" customHeight="1">
      <c r="B5" s="59"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8"/>
  <sheetViews>
    <sheetView workbookViewId="0"/>
  </sheetViews>
  <sheetFormatPr defaultColWidth="12.6328125" defaultRowHeight="15.75" customHeight="1"/>
  <cols>
    <col min="2" max="2" width="23.26953125" customWidth="1"/>
  </cols>
  <sheetData>
    <row r="1" spans="1:4" ht="15.75" customHeight="1">
      <c r="A1" s="60" t="s">
        <v>9</v>
      </c>
      <c r="B1" s="61" t="s">
        <v>11</v>
      </c>
      <c r="C1" s="59" t="s">
        <v>93</v>
      </c>
      <c r="D1" s="59" t="s">
        <v>94</v>
      </c>
    </row>
    <row r="2" spans="1:4" ht="15.75" customHeight="1">
      <c r="A2" s="61">
        <v>1</v>
      </c>
      <c r="B2" s="61" t="s">
        <v>95</v>
      </c>
    </row>
    <row r="3" spans="1:4" ht="15.75" customHeight="1">
      <c r="A3" s="61">
        <v>2</v>
      </c>
      <c r="B3" s="61" t="s">
        <v>96</v>
      </c>
    </row>
    <row r="4" spans="1:4" ht="15.75" customHeight="1">
      <c r="A4" s="61">
        <v>3</v>
      </c>
      <c r="B4" s="61" t="s">
        <v>97</v>
      </c>
    </row>
    <row r="5" spans="1:4" ht="15.75" customHeight="1">
      <c r="A5" s="61">
        <v>4</v>
      </c>
      <c r="B5" s="61" t="s">
        <v>98</v>
      </c>
    </row>
    <row r="6" spans="1:4" ht="15.75" customHeight="1">
      <c r="A6" s="61">
        <v>5</v>
      </c>
      <c r="B6" s="61" t="s">
        <v>99</v>
      </c>
    </row>
    <row r="7" spans="1:4" ht="15.75" customHeight="1">
      <c r="A7" s="59">
        <v>6</v>
      </c>
      <c r="B7" s="59" t="s">
        <v>97</v>
      </c>
      <c r="C7" s="59">
        <v>3</v>
      </c>
      <c r="D7" s="59">
        <v>3</v>
      </c>
    </row>
    <row r="8" spans="1:4" ht="15.75" customHeight="1">
      <c r="A8" s="59">
        <v>7</v>
      </c>
      <c r="B8" s="59" t="s">
        <v>100</v>
      </c>
      <c r="C8" s="59">
        <v>3</v>
      </c>
      <c r="D8" s="59">
        <v>3</v>
      </c>
    </row>
  </sheetData>
  <hyperlinks>
    <hyperlink ref="A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Sarathys work </vt:lpstr>
      <vt:lpstr>Others work</vt:lpstr>
      <vt:lpstr>info.about publication</vt:lpstr>
      <vt:lpstr>clients details</vt:lpstr>
      <vt:lpstr>Patent</vt:lpstr>
      <vt:lpstr>Awards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VK</dc:creator>
  <cp:lastModifiedBy>Divya VK</cp:lastModifiedBy>
  <dcterms:created xsi:type="dcterms:W3CDTF">2026-02-28T04:53:46Z</dcterms:created>
  <dcterms:modified xsi:type="dcterms:W3CDTF">2026-02-28T04:53:46Z</dcterms:modified>
</cp:coreProperties>
</file>